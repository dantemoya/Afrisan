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e569f0084047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a priorizada de requisitos" sheetId="1" r:id="Re5c9344e93d74fe8"/>
    <x:sheet xmlns:r="http://schemas.openxmlformats.org/officeDocument/2006/relationships" name="Criterios de Aceptacion" sheetId="2" r:id="Rc8d2f86e2bdd4a4d"/>
    <x:sheet xmlns:r="http://schemas.openxmlformats.org/officeDocument/2006/relationships" name="Control de Cambios" sheetId="3" r:id="R8d38a891a9394e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sz val="11"/>
      <x:name val="Arial"/>
    </x:font>
    <x:font>
      <x:sz val="16"/>
      <x:name val="Arial"/>
    </x:font>
    <x:font>
      <x:b/>
      <x:sz val="16"/>
      <x:name val="Arial"/>
    </x:font>
    <x:font>
      <x:i/>
      <x:sz val="11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45F"/>
      </x:patternFill>
    </x:fill>
    <x:fill>
      <x:patternFill patternType="solid">
        <x:fgColor rgb="FFF1F5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cf45ccdc6b4230" /><Relationship Type="http://schemas.openxmlformats.org/officeDocument/2006/relationships/theme" Target="/xl/theme/theme1.xml" Id="Rf885beb4cea5409a" /><Relationship Type="http://schemas.openxmlformats.org/officeDocument/2006/relationships/sharedStrings" Target="/xl/sharedStrings.xml" Id="R08a0a0cd1fc2497a" /><Relationship Type="http://schemas.openxmlformats.org/officeDocument/2006/relationships/worksheet" Target="/xl/worksheets/sheet1.xml" Id="Re5c9344e93d74fe8" /><Relationship Type="http://schemas.openxmlformats.org/officeDocument/2006/relationships/worksheet" Target="/xl/worksheets/sheet2.xml" Id="Rc8d2f86e2bdd4a4d" /><Relationship Type="http://schemas.openxmlformats.org/officeDocument/2006/relationships/worksheet" Target="/xl/worksheets/sheet3.xml" Id="R8d38a891a9394e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445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" hidden="0" customWidth="1"/>
    <x:col min="2" max="2" width="29" hidden="0" customWidth="1"/>
    <x:col min="3" max="3" width="56" hidden="0" customWidth="1"/>
    <x:col min="4" max="4" width="16" hidden="0" customWidth="1"/>
    <x:col min="5" max="5" width="12" hidden="0" customWidth="1"/>
    <x:col min="6" max="6" width="15" hidden="0" customWidth="1"/>
    <x:col min="7" max="7" width="49" hidden="0" customWidth="1"/>
    <x:col min="8" max="8" width="5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4" t="str">
        <x:v>Lista priorizada de requisitos del nuevo AFRISAN</x:v>
      </x:c>
      <x:c r="B2" s="2"/>
      <x:c r="C2" s="2"/>
      <x:c r="D2" s="2"/>
      <x:c r="E2" s="2"/>
      <x:c r="F2" s="2"/>
      <x:c r="G2" s="2"/>
      <x:c r="H2" s="2"/>
    </x:row>
    <x:row r="3">
      <x:c r="A3" s="5" t="str">
        <x:v>Corte 28/10/2026. Responsable actual Dante Moya.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34" customHeight="1">
      <x:c r="A5" s="10" t="str">
        <x:v>ID</x:v>
      </x:c>
      <x:c r="B5" s="10" t="str">
        <x:v>Historia actual</x:v>
      </x:c>
      <x:c r="C5" s="10" t="str">
        <x:v>Enunciado actualizado</x:v>
      </x:c>
      <x:c r="D5" s="10" t="str">
        <x:v>Puntos históricos</x:v>
      </x:c>
      <x:c r="E5" s="10" t="str">
        <x:v>Prioridad</x:v>
      </x:c>
      <x:c r="F5" s="10" t="str">
        <x:v>Estado de desarrollo</x:v>
      </x:c>
      <x:c r="G5" s="10" t="str">
        <x:v>Evidencia disponible</x:v>
      </x:c>
      <x:c r="H5" s="10" t="str">
        <x:v>Pendiente para aceptación</x:v>
      </x:c>
    </x:row>
    <x:row r="6" ht="60" customHeight="1">
      <x:c r="A6" s="13" t="str">
        <x:v>HU-01</x:v>
      </x:c>
      <x:c r="B6" s="11" t="str">
        <x:v>Retiro y custodia del cilindro</x:v>
      </x:c>
      <x:c r="C6" s="11" t="str">
        <x:v>Como Técnico asignado selecciono un cilindro disponible del refrigerante encargado y lo vinculo a mi OT al retirarlo.</x:v>
      </x:c>
      <x:c r="D6" s="15" t="n">
        <x:v>5</x:v>
      </x:c>
      <x:c r="E6" s="13" t="str">
        <x:v>Alta</x:v>
      </x:c>
      <x:c r="F6" s="11" t="str">
        <x:v>En curso</x:v>
      </x:c>
      <x:c r="G6" s="11" t="str">
        <x:v>Retiro autenticado y reintentos probados en memoria. QR descargable.</x:v>
      </x:c>
      <x:c r="H6" s="11" t="str">
        <x:v>Escaneo con cámara o dispositivo físico, reserva por código e importación Defontana pendientes.</x:v>
      </x:c>
    </x:row>
    <x:row r="7" ht="44" customHeight="1">
      <x:c r="A7" s="14" t="str">
        <x:v>HU-02</x:v>
      </x:c>
      <x:c r="B7" s="12" t="str">
        <x:v>Peso y foto de salida</x:v>
      </x:c>
      <x:c r="C7" s="12" t="str">
        <x:v>Como Técnico registro peso bruto y foto de balanza al retirar el cilindro de Bodega.</x:v>
      </x:c>
      <x:c r="D7" s="16" t="n">
        <x:v>3</x:v>
      </x:c>
      <x:c r="E7" s="14" t="str">
        <x:v>Alta</x:v>
      </x:c>
      <x:c r="F7" s="12" t="str">
        <x:v>En curso</x:v>
      </x:c>
      <x:c r="G7" s="12" t="str">
        <x:v>Registro obligatorio de peso y fotografía probado en memoria.</x:v>
      </x:c>
      <x:c r="H7" s="12" t="str">
        <x:v>Persistencia y cámara física pendientes. Sustituye responsabilidad anterior de Bodega.</x:v>
      </x:c>
    </x:row>
    <x:row r="8" ht="44" customHeight="1">
      <x:c r="A8" s="13" t="str">
        <x:v>HU-03</x:v>
      </x:c>
      <x:c r="B8" s="11" t="str">
        <x:v>Acceso por rol</x:v>
      </x:c>
      <x:c r="C8" s="11" t="str">
        <x:v>Como usuario accedo solo a operaciones de mi rol y, como Técnico, a mis OT.</x:v>
      </x:c>
      <x:c r="D8" s="15" t="n">
        <x:v>3</x:v>
      </x:c>
      <x:c r="E8" s="13" t="str">
        <x:v>Alta</x:v>
      </x:c>
      <x:c r="F8" s="11" t="str">
        <x:v>En curso</x:v>
      </x:c>
      <x:c r="G8" s="11" t="str">
        <x:v>JWT de revisión y restricciones API verificadas en prototipo.</x:v>
      </x:c>
      <x:c r="H8" s="11" t="str">
        <x:v>Usuarios reales, credenciales operativas y validación de identidad persistida pendientes.</x:v>
      </x:c>
    </x:row>
    <x:row r="9" ht="60" customHeight="1">
      <x:c r="A9" s="14" t="str">
        <x:v>HU-04</x:v>
      </x:c>
      <x:c r="B9" s="12" t="str">
        <x:v>Borradores y sincronización</x:v>
      </x:c>
      <x:c r="C9" s="12" t="str">
        <x:v>Como Técnico guardo localmente borradores y fotos y los envío al recuperar conexión.</x:v>
      </x:c>
      <x:c r="D9" s="16" t="n">
        <x:v>8</x:v>
      </x:c>
      <x:c r="E9" s="14" t="str">
        <x:v>Alta</x:v>
      </x:c>
      <x:c r="F9" s="12" t="str">
        <x:v>En curso</x:v>
      </x:c>
      <x:c r="G9" s="12" t="str">
        <x:v>Código de IndexedDB y reintentos disponible.</x:v>
      </x:c>
      <x:c r="H9" s="12" t="str">
        <x:v>Ensayo sin red, recuperación tras reinicio y varios dispositivos pendientes. Retiro exige conexión.</x:v>
      </x:c>
    </x:row>
    <x:row r="10" ht="60" customHeight="1">
      <x:c r="A10" s="13" t="str">
        <x:v>HU-05</x:v>
      </x:c>
      <x:c r="B10" s="11" t="str">
        <x:v>Reemplazo o agregado físico</x:v>
      </x:c>
      <x:c r="C10" s="11" t="str">
        <x:v>Como Técnico identifico cilindro retirado e instalado y guardo sus pesos en el cambio; el agregado no inventa un retirado.</x:v>
      </x:c>
      <x:c r="D10" s="15" t="n">
        <x:v>5</x:v>
      </x:c>
      <x:c r="E10" s="13" t="str">
        <x:v>Alta</x:v>
      </x:c>
      <x:c r="F10" s="11" t="str">
        <x:v>En curso</x:v>
      </x:c>
      <x:c r="G10" s="11" t="str">
        <x:v>Reemplazo probado por HTTP y navegador; agregado cubierto en SQL local.</x:v>
      </x:c>
      <x:c r="H10" s="11" t="str">
        <x:v>Integración persistente y validación del cliente pendientes. No equivale a kg inyectados.</x:v>
      </x:c>
    </x:row>
    <x:row r="11" ht="60" customHeight="1">
      <x:c r="A11" s="14" t="str">
        <x:v>HU-06</x:v>
      </x:c>
      <x:c r="B11" s="12" t="str">
        <x:v>Fotos por cilindro y pesaje</x:v>
      </x:c>
      <x:c r="C11" s="12" t="str">
        <x:v>Como Técnico adjunto evidencias de salida y de los envases retirado e instalado cuando corresponda.</x:v>
      </x:c>
      <x:c r="D11" s="16" t="n">
        <x:v>5</x:v>
      </x:c>
      <x:c r="E11" s="14" t="str">
        <x:v>Alta</x:v>
      </x:c>
      <x:c r="F11" s="12" t="str">
        <x:v>En curso</x:v>
      </x:c>
      <x:c r="G11" s="12" t="str">
        <x:v>Obligatoriedad y consulta autenticada verificadas con datos y archivos de prueba sintéticos.</x:v>
      </x:c>
      <x:c r="H11" s="12" t="str">
        <x:v>almacenamiento privado de archivos durable, cámara y legibilidad física pendientes.</x:v>
      </x:c>
    </x:row>
    <x:row r="12" ht="60" customHeight="1">
      <x:c r="A12" s="13" t="str">
        <x:v>HU-07</x:v>
      </x:c>
      <x:c r="B12" s="11" t="str">
        <x:v>Límites por sucursal</x:v>
      </x:c>
      <x:c r="C12" s="11" t="str">
        <x:v>Como Jefatura o Bodega habilitada defino límites semanales y mensuales para investigar excesos.</x:v>
      </x:c>
      <x:c r="D12" s="15" t="n">
        <x:v>5</x:v>
      </x:c>
      <x:c r="E12" s="13" t="str">
        <x:v>Alta</x:v>
      </x:c>
      <x:c r="F12" s="11" t="str">
        <x:v>No iniciado en aplicación</x:v>
      </x:c>
      <x:c r="G12" s="11" t="str">
        <x:v>SQL local valida versiones y bloqueo de Jefatura.</x:v>
      </x:c>
      <x:c r="H12" s="11" t="str">
        <x:v>API, pantalla, cómputo automático y calendario por definir. Umbrales históricos 5/15% sin aprobación actual.</x:v>
      </x:c>
    </x:row>
    <x:row r="13" ht="60" customHeight="1">
      <x:c r="A13" s="14" t="str">
        <x:v>HU-08</x:v>
      </x:c>
      <x:c r="B13" s="12" t="str">
        <x:v>Recepción y revisión del retorno</x:v>
      </x:c>
      <x:c r="C13" s="12" t="str">
        <x:v>Como Bodega confirmo envase y peso recibido; apruebo antes de la revisión final del Autorizador.</x:v>
      </x:c>
      <x:c r="D13" s="16" t="n">
        <x:v>5</x:v>
      </x:c>
      <x:c r="E13" s="14" t="str">
        <x:v>Alta</x:v>
      </x:c>
      <x:c r="F13" s="12" t="str">
        <x:v>En curso</x:v>
      </x:c>
      <x:c r="G13" s="12" t="str">
        <x:v>Recepción, bloqueos y dos revisiones probados en memoria.</x:v>
      </x:c>
      <x:c r="H13" s="12" t="str">
        <x:v>Persistencia, rechazos y rectificación material pendientes. Instalado puede quedar en sucursal.</x:v>
      </x:c>
    </x:row>
    <x:row r="14" ht="44" customHeight="1">
      <x:c r="A14" s="13" t="str">
        <x:v>HU-09</x:v>
      </x:c>
      <x:c r="B14" s="11" t="str">
        <x:v>Certificado de disposición</x:v>
      </x:c>
      <x:c r="C14" s="11" t="str">
        <x:v>Como usuario habilitado vinculo cilindros dados de baja a un certificado de disposición.</x:v>
      </x:c>
      <x:c r="D14" s="15" t="n">
        <x:v>3</x:v>
      </x:c>
      <x:c r="E14" s="13" t="str">
        <x:v>Media</x:v>
      </x:c>
      <x:c r="F14" s="11" t="str">
        <x:v>No iniciado en aplicación</x:v>
      </x:c>
      <x:c r="G14" s="11" t="str">
        <x:v>Estructura SQL y validaciones locales del certificado disponibles.</x:v>
      </x:c>
      <x:c r="H14" s="11" t="str">
        <x:v>Interfaz, permisos operativos, integración y certificado real pendientes.</x:v>
      </x:c>
    </x:row>
    <x:row r="15" ht="60" customHeight="1">
      <x:c r="A15" s="14" t="str">
        <x:v>HU-10</x:v>
      </x:c>
      <x:c r="B15" s="12" t="str">
        <x:v>Power BI costos y emisiones</x:v>
      </x:c>
      <x:c r="C15" s="12" t="str">
        <x:v>Como Jefatura consulto indicadores de inventario, costos y emisiones con definiciones verificables.</x:v>
      </x:c>
      <x:c r="D15" s="16" t="n">
        <x:v>5</x:v>
      </x:c>
      <x:c r="E15" s="14" t="str">
        <x:v>Media</x:v>
      </x:c>
      <x:c r="F15" s="12" t="str">
        <x:v>No iniciado en aplicación</x:v>
      </x:c>
      <x:c r="G15" s="12" t="str">
        <x:v>Diseño SQL de costos y emisiones separado; requisito Power BI conservado.</x:v>
      </x:c>
      <x:c r="H15" s="12" t="str">
        <x:v>Power BI, fuente persistente, cinco indicadores clave de desempeño y factores de emisión por validar.</x:v>
      </x:c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 t="str">
        <x:v>Total puntos históricos</x:v>
      </x:c>
      <x:c r="D17" s="2" t="n">
        <x:f>SUM(D6:D15)</x:f>
        <x:v>47</x:v>
      </x:c>
      <x:c r="E17" s="2"/>
      <x:c r="F17" s="2"/>
      <x:c r="G17" s="2"/>
      <x:c r="H17" s="2"/>
    </x:row>
    <x:row r="18">
      <x:c r="A18" s="2"/>
      <x:c r="B18" s="2"/>
      <x:c r="C18" s="2" t="str">
        <x:v>Los 47 puntos no expresan horas ni porcentaje de avance. Ninguna HU se declara aceptada.</x:v>
      </x:c>
      <x:c r="D18" s="2"/>
      <x:c r="E18" s="2"/>
      <x:c r="F18" s="2"/>
      <x:c r="G18" s="2"/>
      <x:c r="H1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445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47" hidden="0" customWidth="1"/>
    <x:col min="4" max="4" width="66" hidden="0" customWidth="1"/>
    <x:col min="5" max="5" width="26" hidden="0" customWidth="1"/>
    <x:col min="6" max="6" width="58" hidden="0" customWidth="1"/>
  </x:cols>
  <x:sheetData>
    <x:row r="1">
      <x:c r="A1" s="2"/>
      <x:c r="B1" s="2"/>
      <x:c r="C1" s="2"/>
      <x:c r="D1" s="2"/>
      <x:c r="E1" s="2"/>
      <x:c r="F1" s="2"/>
    </x:row>
    <x:row r="2">
      <x:c r="A2" s="4" t="str">
        <x:v>Criterios revisados para el flujo físico</x:v>
      </x:c>
      <x:c r="B2" s="2"/>
      <x:c r="C2" s="2"/>
      <x:c r="D2" s="2"/>
      <x:c r="E2" s="2"/>
      <x:c r="F2" s="2"/>
    </x:row>
    <x:row r="3">
      <x:c r="A3" s="5" t="str">
        <x:v>Corte 28/10/2026. Responsable actual Dante Moya.</x:v>
      </x:c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 ht="34" customHeight="1">
      <x:c r="A5" s="10" t="str">
        <x:v>HU</x:v>
      </x:c>
      <x:c r="B5" s="10" t="str">
        <x:v>Criterio</x:v>
      </x:c>
      <x:c r="C5" s="10" t="str">
        <x:v>Condición</x:v>
      </x:c>
      <x:c r="D5" s="10" t="str">
        <x:v>Resultado esperado</x:v>
      </x:c>
      <x:c r="E5" s="10" t="str">
        <x:v>Estado de evidencia</x:v>
      </x:c>
      <x:c r="F5" s="10" t="str">
        <x:v>Fuente</x:v>
      </x:c>
    </x:row>
    <x:row r="6" ht="44" customHeight="1">
      <x:c r="A6" s="11" t="str">
        <x:v>HU-01</x:v>
      </x:c>
      <x:c r="B6" s="11" t="str">
        <x:v>CA-01</x:v>
      </x:c>
      <x:c r="C6" s="11" t="str">
        <x:v>Técnico propio, OT asignada y cilindro pesado en Bodega del gas encargado</x:v>
      </x:c>
      <x:c r="D6" s="11" t="str">
        <x:v>Retiro asocia custodia y cambia a En proceso de despacho; reintento idéntico no duplica.</x:v>
      </x:c>
      <x:c r="E6" s="11" t="str">
        <x:v>Prototipo probado</x:v>
      </x:c>
      <x:c r="F6" s="11" t="str">
        <x:v>AFRISAN_NUEVO/04_SEGUIMIENTO/FLUJO_TERRENO_2026_10_25/README.md</x:v>
      </x:c>
    </x:row>
    <x:row r="7" ht="44" customHeight="1">
      <x:c r="A7" s="12" t="str">
        <x:v>HU-01</x:v>
      </x:c>
      <x:c r="B7" s="12" t="str">
        <x:v>CA-02</x:v>
      </x:c>
      <x:c r="C7" s="12" t="str">
        <x:v>Cilindro no disponible o custodia activa</x:v>
      </x:c>
      <x:c r="D7" s="12" t="str">
        <x:v>Rechazar nueva custodia y conservar historial.</x:v>
      </x:c>
      <x:c r="E7" s="12" t="str">
        <x:v>Prototipo probado</x:v>
      </x:c>
      <x:c r="F7" s="12" t="str">
        <x:v>AFRISAN_NUEVO/04_SEGUIMIENTO/FLUJO_TERRENO_2026_10_25/README.md</x:v>
      </x:c>
    </x:row>
    <x:row r="8" ht="44" customHeight="1">
      <x:c r="A8" s="11" t="str">
        <x:v>HU-02</x:v>
      </x:c>
      <x:c r="B8" s="11" t="str">
        <x:v>CA-01</x:v>
      </x:c>
      <x:c r="C8" s="11" t="str">
        <x:v>Retiro sin peso o foto</x:v>
      </x:c>
      <x:c r="D8" s="11" t="str">
        <x:v>Rechazar confirmación; exigir tara &lt; peso bruto &lt;= tara + capacidad y archivo admitido.</x:v>
      </x:c>
      <x:c r="E8" s="11" t="str">
        <x:v>Prototipo probado</x:v>
      </x:c>
      <x:c r="F8" s="11" t="str">
        <x:v>AFRISAN_NUEVO/04_SEGUIMIENTO/FLUJO_TERRENO_2026_10_25/README.md</x:v>
      </x:c>
    </x:row>
    <x:row r="9" ht="44" customHeight="1">
      <x:c r="A9" s="12" t="str">
        <x:v>HU-02</x:v>
      </x:c>
      <x:c r="B9" s="12" t="str">
        <x:v>CA-02</x:v>
      </x:c>
      <x:c r="C9" s="12" t="str">
        <x:v>Retiro confirmado</x:v>
      </x:c>
      <x:c r="D9" s="12" t="str">
        <x:v>Conservar peso, foto, actor y fecha; no sobrescribir pesaje confirmado.</x:v>
      </x:c>
      <x:c r="E9" s="12" t="str">
        <x:v>Prototipo probado</x:v>
      </x:c>
      <x:c r="F9" s="12" t="str">
        <x:v>AFRISAN_NUEVO/04_SEGUIMIENTO/FLUJO_TERRENO_2026_10_25/README.md</x:v>
      </x:c>
    </x:row>
    <x:row r="10" ht="44" customHeight="1">
      <x:c r="A10" s="11" t="str">
        <x:v>HU-03</x:v>
      </x:c>
      <x:c r="B10" s="11" t="str">
        <x:v>CA-01</x:v>
      </x:c>
      <x:c r="C10" s="11" t="str">
        <x:v>Sin sesión o rol no autorizado</x:v>
      </x:c>
      <x:c r="D10" s="11" t="str">
        <x:v>API responde 401 o 403 sin ejecutar acción restringida.</x:v>
      </x:c>
      <x:c r="E10" s="11" t="str">
        <x:v>Prototipo probado</x:v>
      </x:c>
      <x:c r="F10" s="11" t="str">
        <x:v>AFRISAN_NUEVO/04_SEGUIMIENTO/FLUJO_TERRENO_2026_10_25/README.md</x:v>
      </x:c>
    </x:row>
    <x:row r="11" ht="44" customHeight="1">
      <x:c r="A11" s="12" t="str">
        <x:v>HU-03</x:v>
      </x:c>
      <x:c r="B11" s="12" t="str">
        <x:v>CA-02</x:v>
      </x:c>
      <x:c r="C11" s="12" t="str">
        <x:v>Cuenta real deshabilitada o sesión vencida</x:v>
      </x:c>
      <x:c r="D11" s="12" t="str">
        <x:v>Rechazar ingreso y renovar o revocar según política acordada.</x:v>
      </x:c>
      <x:c r="E11" s="12" t="str">
        <x:v>Pendiente de integración</x:v>
      </x:c>
      <x:c r="F11" s="12" t="str">
        <x:v>AFRISAN_NUEVO/03_CODIGO/README.md</x:v>
      </x:c>
    </x:row>
    <x:row r="12" ht="44" customHeight="1">
      <x:c r="A12" s="11" t="str">
        <x:v>HU-04</x:v>
      </x:c>
      <x:c r="B12" s="11" t="str">
        <x:v>CA-01</x:v>
      </x:c>
      <x:c r="C12" s="11" t="str">
        <x:v>Formulario de terreno guardado sin red</x:v>
      </x:c>
      <x:c r="D12" s="11" t="str">
        <x:v>Recuperar borrador y fotos al reabrir y sincronizar sin duplicados al volver la conexión.</x:v>
      </x:c>
      <x:c r="E12" s="11" t="str">
        <x:v>Pendiente de prueba</x:v>
      </x:c>
      <x:c r="F12" s="11" t="str">
        <x:v>AFRISAN_NUEVO/03_CODIGO/TRABAJO_TECNICO.md</x:v>
      </x:c>
    </x:row>
    <x:row r="13" ht="44" customHeight="1">
      <x:c r="A13" s="12" t="str">
        <x:v>HU-04</x:v>
      </x:c>
      <x:c r="B13" s="12" t="str">
        <x:v>CA-02</x:v>
      </x:c>
      <x:c r="C13" s="12" t="str">
        <x:v>Retiro de un cilindro en Bodega sin red</x:v>
      </x:c>
      <x:c r="D13" s="12" t="str">
        <x:v>No confirmar disponibilidad ni custodia sin conexión; informar condición al usuario.</x:v>
      </x:c>
      <x:c r="E13" s="12" t="str">
        <x:v>Decisión documentada</x:v>
      </x:c>
      <x:c r="F13" s="12" t="str">
        <x:v>AFRISAN_NUEVO/01_NEGOCIO/12_FLUJO_TERRENO_DESPACHO_Y_REVISION.md</x:v>
      </x:c>
    </x:row>
    <x:row r="14" ht="60" customHeight="1">
      <x:c r="A14" s="11" t="str">
        <x:v>HU-05</x:v>
      </x:c>
      <x:c r="B14" s="11" t="str">
        <x:v>CA-01</x:v>
      </x:c>
      <x:c r="C14" s="11" t="str">
        <x:v>Reemplazo físico</x:v>
      </x:c>
      <x:c r="D14" s="11" t="str">
        <x:v>Instalado queda en sucursal; retirado queda pendiente de recepción. No restar pesos de envases distintos como consumo.</x:v>
      </x:c>
      <x:c r="E14" s="11" t="str">
        <x:v>Prototipo probado</x:v>
      </x:c>
      <x:c r="F14" s="11" t="str">
        <x:v>AFRISAN_NUEVO/04_SEGUIMIENTO/FLUJO_TERRENO_2026_10_25/README.md</x:v>
      </x:c>
    </x:row>
    <x:row r="15" ht="44" customHeight="1">
      <x:c r="A15" s="12" t="str">
        <x:v>HU-05</x:v>
      </x:c>
      <x:c r="B15" s="12" t="str">
        <x:v>CA-02</x:v>
      </x:c>
      <x:c r="C15" s="12" t="str">
        <x:v>Agregado o ejecución parcial</x:v>
      </x:c>
      <x:c r="D15" s="12" t="str">
        <x:v>No exigir retirado ficticio; conservar motivo y resolver reservas no usadas.</x:v>
      </x:c>
      <x:c r="E15" s="12" t="str">
        <x:v>SQL local probado</x:v>
      </x:c>
      <x:c r="F15" s="12" t="str">
        <x:v>AFRISAN_NUEVO/04_SEGUIMIENTO/VALIDACION_SQL_CONTEXTO_2026_10_25/README.md</x:v>
      </x:c>
    </x:row>
    <x:row r="16" ht="44" customHeight="1">
      <x:c r="A16" s="11" t="str">
        <x:v>HU-06</x:v>
      </x:c>
      <x:c r="B16" s="11" t="str">
        <x:v>CA-01</x:v>
      </x:c>
      <x:c r="C16" s="11" t="str">
        <x:v>Confirmación sin evidencia obligatoria</x:v>
      </x:c>
      <x:c r="D16" s="11" t="str">
        <x:v>Impedir confirmación hasta adjuntar fotos asociadas al cilindro y tipo de pesaje.</x:v>
      </x:c>
      <x:c r="E16" s="11" t="str">
        <x:v>Prototipo probado</x:v>
      </x:c>
      <x:c r="F16" s="11" t="str">
        <x:v>AFRISAN_NUEVO/04_SEGUIMIENTO/FLUJO_TERRENO_2026_10_25/README.md</x:v>
      </x:c>
    </x:row>
    <x:row r="17" ht="44" customHeight="1">
      <x:c r="A17" s="12" t="str">
        <x:v>HU-06</x:v>
      </x:c>
      <x:c r="B17" s="12" t="str">
        <x:v>CA-02</x:v>
      </x:c>
      <x:c r="C17" s="12" t="str">
        <x:v>Consulta de fotografías</x:v>
      </x:c>
      <x:c r="D17" s="12" t="str">
        <x:v>Exigir autenticación y autorización; conservar bytes y vínculo al registro.</x:v>
      </x:c>
      <x:c r="E17" s="12" t="str">
        <x:v>Prototipo probado</x:v>
      </x:c>
      <x:c r="F17" s="12" t="str">
        <x:v>AFRISAN_NUEVO/04_SEGUIMIENTO/FLUJO_TERRENO_2026_10_25/README.md</x:v>
      </x:c>
    </x:row>
    <x:row r="18" ht="44" customHeight="1">
      <x:c r="A18" s="11" t="str">
        <x:v>HU-07</x:v>
      </x:c>
      <x:c r="B18" s="11" t="str">
        <x:v>CA-01</x:v>
      </x:c>
      <x:c r="C18" s="11" t="str">
        <x:v>Jefatura modifica un límite</x:v>
      </x:c>
      <x:c r="D18" s="11" t="str">
        <x:v>Conservar versión y bloquear edición de Bodega hasta habilitación explícita de Jefatura.</x:v>
      </x:c>
      <x:c r="E18" s="11" t="str">
        <x:v>SQL local probado</x:v>
      </x:c>
      <x:c r="F18" s="11" t="str">
        <x:v>AFRISAN_NUEVO/04_SEGUIMIENTO/VALIDACION_SQL_CONTEXTO_2026_10_25/README.md</x:v>
      </x:c>
    </x:row>
    <x:row r="19" ht="44" customHeight="1">
      <x:c r="A19" s="12" t="str">
        <x:v>HU-07</x:v>
      </x:c>
      <x:c r="B19" s="12" t="str">
        <x:v>CA-02</x:v>
      </x:c>
      <x:c r="C19" s="12" t="str">
        <x:v>Cómputo de exceso semanal o mensual</x:v>
      </x:c>
      <x:c r="D19" s="12" t="str">
        <x:v>Usar definición acordada de kilos, calendario y versión del límite; abrir revisión humana.</x:v>
      </x:c>
      <x:c r="E19" s="12" t="str">
        <x:v>Pendiente de definición</x:v>
      </x:c>
      <x:c r="F19" s="12" t="str">
        <x:v>AFRISAN_NUEVO/01_NEGOCIO/07_OT_DEFINICION_DANTE.md</x:v>
      </x:c>
    </x:row>
    <x:row r="20" ht="44" customHeight="1">
      <x:c r="A20" s="11" t="str">
        <x:v>HU-08</x:v>
      </x:c>
      <x:c r="B20" s="11" t="str">
        <x:v>CA-01</x:v>
      </x:c>
      <x:c r="C20" s="11" t="str">
        <x:v>Retirados o reservas sin recibir</x:v>
      </x:c>
      <x:c r="D20" s="11" t="str">
        <x:v>Bodega no aprueba y Autorizador no cierra la OT.</x:v>
      </x:c>
      <x:c r="E20" s="11" t="str">
        <x:v>Prototipo probado</x:v>
      </x:c>
      <x:c r="F20" s="11" t="str">
        <x:v>AFRISAN_NUEVO/04_SEGUIMIENTO/FLUJO_TERRENO_2026_10_25/README.md</x:v>
      </x:c>
    </x:row>
    <x:row r="21" ht="44" customHeight="1">
      <x:c r="A21" s="12" t="str">
        <x:v>HU-08</x:v>
      </x:c>
      <x:c r="B21" s="12" t="str">
        <x:v>CA-02</x:v>
      </x:c>
      <x:c r="C21" s="12" t="str">
        <x:v>Término técnico y recepciones completas</x:v>
      </x:c>
      <x:c r="D21" s="12" t="str">
        <x:v>Bodega aprueba, luego Autorizador revisa fotos y registros y cierra; conservar dos actores y fechas.</x:v>
      </x:c>
      <x:c r="E21" s="12" t="str">
        <x:v>Prototipo probado</x:v>
      </x:c>
      <x:c r="F21" s="12" t="str">
        <x:v>AFRISAN_NUEVO/04_SEGUIMIENTO/FLUJO_TERRENO_2026_10_25/README.md</x:v>
      </x:c>
    </x:row>
    <x:row r="22" ht="44" customHeight="1">
      <x:c r="A22" s="11" t="str">
        <x:v>HU-08</x:v>
      </x:c>
      <x:c r="B22" s="11" t="str">
        <x:v>CA-03</x:v>
      </x:c>
      <x:c r="C22" s="11" t="str">
        <x:v>Peso recibido diferente al de terreno</x:v>
      </x:c>
      <x:c r="D22" s="11" t="str">
        <x:v>Mostrar ambos y su diferencia; no sobrescribir ni atribuir pérdida automáticamente.</x:v>
      </x:c>
      <x:c r="E22" s="11" t="str">
        <x:v>Prototipo probado</x:v>
      </x:c>
      <x:c r="F22" s="11" t="str">
        <x:v>AFRISAN_NUEVO/04_SEGUIMIENTO/FLUJO_TERRENO_2026_10_25/README.md</x:v>
      </x:c>
    </x:row>
    <x:row r="23" ht="44" customHeight="1">
      <x:c r="A23" s="12" t="str">
        <x:v>HU-09</x:v>
      </x:c>
      <x:c r="B23" s="12" t="str">
        <x:v>CA-01</x:v>
      </x:c>
      <x:c r="C23" s="12" t="str">
        <x:v>Baja con certificado</x:v>
      </x:c>
      <x:c r="D23" s="12" t="str">
        <x:v>Vincular folio, responsable y cilindros; conservar historial de custodia.</x:v>
      </x:c>
      <x:c r="E23" s="12" t="str">
        <x:v>SQL local probado</x:v>
      </x:c>
      <x:c r="F23" s="12" t="str">
        <x:v>AFRISAN_NUEVO/04_SEGUIMIENTO/VALIDACION_SQL_CONTEXTO_2026_10_25/README.md</x:v>
      </x:c>
    </x:row>
    <x:row r="24" ht="44" customHeight="1">
      <x:c r="A24" s="11" t="str">
        <x:v>HU-09</x:v>
      </x:c>
      <x:c r="B24" s="11" t="str">
        <x:v>CA-02</x:v>
      </x:c>
      <x:c r="C24" s="11" t="str">
        <x:v>Certificado real y archivos</x:v>
      </x:c>
      <x:c r="D24" s="11" t="str">
        <x:v>Permitir consulta autorizada de respaldo durable y validar el proceso con cliente.</x:v>
      </x:c>
      <x:c r="E24" s="11" t="str">
        <x:v>Pendiente de integración</x:v>
      </x:c>
      <x:c r="F24" s="11" t="str">
        <x:v>AFRISAN_NUEVO/04_SEGUIMIENTO/VALIDACION_SQL_CONTEXTO_2026_10_25/README.md</x:v>
      </x:c>
    </x:row>
    <x:row r="25" ht="60" customHeight="1">
      <x:c r="A25" s="12" t="str">
        <x:v>HU-10</x:v>
      </x:c>
      <x:c r="B25" s="12" t="str">
        <x:v>CA-01</x:v>
      </x:c>
      <x:c r="C25" s="12" t="str">
        <x:v>tablero de indicadores conectado a registros persistentes</x:v>
      </x:c>
      <x:c r="D25" s="12" t="str">
        <x:v>Mostrar cinco indicadores clave de desempeño acordados y filtros por período y sucursal; comprobar resultados con datos de control.</x:v>
      </x:c>
      <x:c r="E25" s="12" t="str">
        <x:v>Pendiente de integración</x:v>
      </x:c>
      <x:c r="F25" s="12" t="str">
        <x:v>AFRISAN_NUEVO/01_NEGOCIO/11_MODULO_POWER_BI.md</x:v>
      </x:c>
    </x:row>
    <x:row r="26" ht="44" customHeight="1">
      <x:c r="A26" s="11" t="str">
        <x:v>HU-10</x:v>
      </x:c>
      <x:c r="B26" s="11" t="str">
        <x:v>CA-02</x:v>
      </x:c>
      <x:c r="C26" s="11" t="str">
        <x:v>Cálculo de CO2e</x:v>
      </x:c>
      <x:c r="D26" s="11" t="str">
        <x:v>Usar emisiones cuantificadas y factor GWP documentado; no convertir masa instalada automáticamente en emisión.</x:v>
      </x:c>
      <x:c r="E26" s="11" t="str">
        <x:v>Pendiente de validación</x:v>
      </x:c>
      <x:c r="F26" s="11" t="str">
        <x:v>AFRISAN_NUEVO/01_NEGOCIO/11_MODULO_POWER_BI.md</x:v>
      </x:c>
    </x:row>
    <x:row r="27">
      <x:c r="A27" s="2"/>
      <x:c r="B27" s="2"/>
      <x:c r="C27" s="2"/>
      <x:c r="D27" s="2"/>
      <x:c r="E27" s="2"/>
      <x:c r="F27" s="2"/>
    </x:row>
    <x:row r="28">
      <x:c r="A28" s="2"/>
      <x:c r="B28" s="2"/>
      <x:c r="C28" s="2"/>
      <x:c r="D28" s="2"/>
      <x:c r="E28" s="2"/>
      <x:c r="F28" s="2"/>
    </x:row>
    <x:row r="29">
      <x:c r="A29" s="2"/>
      <x:c r="B29" s="2"/>
      <x:c r="C29" s="2"/>
      <x:c r="D29" s="2"/>
      <x:c r="E29" s="2"/>
      <x:c r="F29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4445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45" hidden="0" customWidth="1"/>
    <x:col min="3" max="3" width="50" hidden="0" customWidth="1"/>
    <x:col min="4" max="4" width="60" hidden="0" customWidth="1"/>
  </x:cols>
  <x:sheetData>
    <x:row r="1">
      <x:c r="A1" s="2"/>
      <x:c r="B1" s="2"/>
      <x:c r="C1" s="2"/>
      <x:c r="D1" s="2"/>
    </x:row>
    <x:row r="2">
      <x:c r="A2" s="4" t="str">
        <x:v>Correspondencia con las historias originales</x:v>
      </x:c>
      <x:c r="B2" s="2"/>
      <x:c r="C2" s="2"/>
      <x:c r="D2" s="2"/>
    </x:row>
    <x:row r="3">
      <x:c r="A3" s="5" t="str">
        <x:v>Corte 28/10/2026. Responsable actual Dante Moya.</x:v>
      </x:c>
      <x:c r="B3" s="2"/>
      <x:c r="C3" s="2"/>
      <x:c r="D3" s="2"/>
    </x:row>
    <x:row r="4">
      <x:c r="A4" s="2"/>
      <x:c r="B4" s="2"/>
      <x:c r="C4" s="2"/>
      <x:c r="D4" s="2"/>
    </x:row>
    <x:row r="5" ht="34" customHeight="1">
      <x:c r="A5" s="10" t="str">
        <x:v>ID conservado</x:v>
      </x:c>
      <x:c r="B5" s="10" t="str">
        <x:v>Tema anterior</x:v>
      </x:c>
      <x:c r="C5" s="10" t="str">
        <x:v>Reformulación actual</x:v>
      </x:c>
      <x:c r="D5" s="10" t="str">
        <x:v>Condición de aprobación</x:v>
      </x:c>
    </x:row>
    <x:row r="6" ht="44" customHeight="1">
      <x:c r="A6" s="11" t="str">
        <x:v>HU-01</x:v>
      </x:c>
      <x:c r="B6" s="11" t="str">
        <x:v>Asociación QR y despacho por Bodega</x:v>
      </x:c>
      <x:c r="C6" s="11" t="str">
        <x:v>Retiro y custodia del cilindro</x:v>
      </x:c>
      <x:c r="D6" s="11" t="str">
        <x:v>Ajuste documentado de negocio; validación con cliente/docente pendiente</x:v>
      </x:c>
    </x:row>
    <x:row r="7" ht="44" customHeight="1">
      <x:c r="A7" s="12" t="str">
        <x:v>HU-02</x:v>
      </x:c>
      <x:c r="B7" s="12" t="str">
        <x:v>Pesaje de salida por Bodega</x:v>
      </x:c>
      <x:c r="C7" s="12" t="str">
        <x:v>Peso y foto de salida</x:v>
      </x:c>
      <x:c r="D7" s="12" t="str">
        <x:v>Ajuste documentado de negocio; validación con cliente/docente pendiente</x:v>
      </x:c>
    </x:row>
    <x:row r="8" ht="44" customHeight="1">
      <x:c r="A8" s="11" t="str">
        <x:v>HU-03</x:v>
      </x:c>
      <x:c r="B8" s="11" t="str">
        <x:v>Autenticación y roles</x:v>
      </x:c>
      <x:c r="C8" s="11" t="str">
        <x:v>Acceso por rol</x:v>
      </x:c>
      <x:c r="D8" s="11" t="str">
        <x:v>Alcance conservado; implementación y aceptación pendientes</x:v>
      </x:c>
    </x:row>
    <x:row r="9" ht="44" customHeight="1">
      <x:c r="A9" s="12" t="str">
        <x:v>HU-04</x:v>
      </x:c>
      <x:c r="B9" s="12" t="str">
        <x:v>SQLite sin conexión y envío segundo plano</x:v>
      </x:c>
      <x:c r="C9" s="12" t="str">
        <x:v>Borradores y sincronización</x:v>
      </x:c>
      <x:c r="D9" s="12" t="str">
        <x:v>Ajuste documentado de negocio; validación con cliente/docente pendiente</x:v>
      </x:c>
    </x:row>
    <x:row r="10" ht="44" customHeight="1">
      <x:c r="A10" s="11" t="str">
        <x:v>HU-05</x:v>
      </x:c>
      <x:c r="B10" s="11" t="str">
        <x:v>Kilos inyectados en equipos</x:v>
      </x:c>
      <x:c r="C10" s="11" t="str">
        <x:v>Reemplazo o agregado físico</x:v>
      </x:c>
      <x:c r="D10" s="11" t="str">
        <x:v>Ajuste documentado de negocio; validación con cliente/docente pendiente</x:v>
      </x:c>
    </x:row>
    <x:row r="11" ht="44" customHeight="1">
      <x:c r="A11" s="12" t="str">
        <x:v>HU-06</x:v>
      </x:c>
      <x:c r="B11" s="12" t="str">
        <x:v>Foto de balanza</x:v>
      </x:c>
      <x:c r="C11" s="12" t="str">
        <x:v>Fotos por cilindro y pesaje</x:v>
      </x:c>
      <x:c r="D11" s="12" t="str">
        <x:v>Ajuste documentado de negocio; validación con cliente/docente pendiente</x:v>
      </x:c>
    </x:row>
    <x:row r="12" ht="44" customHeight="1">
      <x:c r="A12" s="11" t="str">
        <x:v>HU-07</x:v>
      </x:c>
      <x:c r="B12" s="11" t="str">
        <x:v>Semáforo por carga y capacidad del equipo</x:v>
      </x:c>
      <x:c r="C12" s="11" t="str">
        <x:v>Límites por sucursal</x:v>
      </x:c>
      <x:c r="D12" s="11" t="str">
        <x:v>Ajuste documentado de negocio; validación con cliente/docente pendiente</x:v>
      </x:c>
    </x:row>
    <x:row r="13" ht="44" customHeight="1">
      <x:c r="A13" s="12" t="str">
        <x:v>HU-08</x:v>
      </x:c>
      <x:c r="B13" s="12" t="str">
        <x:v>Balance salida menos retorno y devolución total</x:v>
      </x:c>
      <x:c r="C13" s="12" t="str">
        <x:v>Recepción y revisión del retorno</x:v>
      </x:c>
      <x:c r="D13" s="12" t="str">
        <x:v>Ajuste documentado de negocio; validación con cliente/docente pendiente</x:v>
      </x:c>
    </x:row>
    <x:row r="14" ht="44" customHeight="1">
      <x:c r="A14" s="11" t="str">
        <x:v>HU-09</x:v>
      </x:c>
      <x:c r="B14" s="11" t="str">
        <x:v>Reciclaje Regener</x:v>
      </x:c>
      <x:c r="C14" s="11" t="str">
        <x:v>Certificado de disposición</x:v>
      </x:c>
      <x:c r="D14" s="11" t="str">
        <x:v>Alcance conservado; implementación y aceptación pendientes</x:v>
      </x:c>
    </x:row>
    <x:row r="15" ht="44" customHeight="1">
      <x:c r="A15" s="12" t="str">
        <x:v>HU-10</x:v>
      </x:c>
      <x:c r="B15" s="12" t="str">
        <x:v>Power BI y emisiones</x:v>
      </x:c>
      <x:c r="C15" s="12" t="str">
        <x:v>Power BI costos y emisiones</x:v>
      </x:c>
      <x:c r="D15" s="12" t="str">
        <x:v>Alcance conservado; implementación y aceptación pendientes</x:v>
      </x:c>
    </x:row>
    <x:row r="16">
      <x:c r="A16" s="2"/>
      <x:c r="B16" s="2"/>
      <x:c r="C16" s="2"/>
      <x:c r="D16" s="2"/>
    </x:row>
    <x:row r="17">
      <x:c r="A17" s="2"/>
      <x:c r="B17" s="2"/>
      <x:c r="C17" s="2"/>
      <x:c r="D17" s="2"/>
    </x:row>
    <x:row r="18">
      <x:c r="A18" s="2"/>
      <x:c r="B18" s="2"/>
      <x:c r="C18" s="2"/>
      <x:c r="D18" s="2"/>
    </x:row>
  </x:sheetData>
  <x:pageMargins left="0.7" right="0.7" top="0.75" bottom="0.75" header="0.3" footer="0.3"/>
</x:worksheet>
</file>