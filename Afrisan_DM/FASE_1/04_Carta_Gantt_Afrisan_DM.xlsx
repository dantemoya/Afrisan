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512d7c560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Academico" sheetId="1" r:id="Rd0846364f8bb477c"/>
    <x:sheet xmlns:r="http://schemas.openxmlformats.org/officeDocument/2006/relationships" name="Carta Gantt" sheetId="2" r:id="Rfc3ab1928ead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0.0"/>
    <x:numFmt numFmtId="203" formatCode=";;;"/>
  </x:numFmts>
  <x:fonts count="8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6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Carlito"/>
    </x:font>
    <x:font>
      <x:b/>
      <x:sz val="1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445F"/>
      </x:patternFill>
    </x:fill>
    <x:fill>
      <x:patternFill patternType="solid">
        <x:fgColor rgb="FF9B6C1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ill>
        <x:patternFill patternType="solid">
          <x:bgColor rgb="FF5A8CAC"/>
        </x:patternFill>
      </x:fill>
    </x:dxf>
    <x:dxf>
      <x:fill>
        <x:patternFill patternType="solid">
          <x:bgColor rgb="FF548A76"/>
        </x:patternFill>
      </x:fill>
    </x:dxf>
    <x:dxf>
      <x:fill>
        <x:patternFill patternType="solid">
          <x:bgColor rgb="FF88729B"/>
        </x:patternFill>
      </x:fill>
    </x:dxf>
    <x:dxf>
      <x:fill>
        <x:patternFill patternType="solid">
          <x:bgColor rgb="FFD9A441"/>
        </x:patternFill>
      </x:fill>
    </x:dxf>
    <x:dxf>
      <x:fill>
        <x:patternFill patternType="solid">
          <x:bgColor rgb="FF5A8CA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9885f673040cc" /><Relationship Type="http://schemas.openxmlformats.org/officeDocument/2006/relationships/theme" Target="/xl/theme/theme1.xml" Id="Re79bf159c36c4984" /><Relationship Type="http://schemas.openxmlformats.org/officeDocument/2006/relationships/sharedStrings" Target="/xl/sharedStrings.xml" Id="R8e1898a563844a55" /><Relationship Type="http://schemas.openxmlformats.org/officeDocument/2006/relationships/worksheet" Target="/xl/worksheets/sheet1.xml" Id="Rd0846364f8bb477c" /><Relationship Type="http://schemas.openxmlformats.org/officeDocument/2006/relationships/worksheet" Target="/xl/worksheets/sheet2.xml" Id="Rfc3ab1928ead41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4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38" hidden="0" customWidth="1"/>
    <x:col min="4" max="4" width="11" hidden="0" customWidth="1"/>
    <x:col min="5" max="5" width="11" hidden="0" customWidth="1"/>
    <x:col min="6" max="6" width="15" hidden="0" customWidth="1"/>
    <x:col min="7" max="7" width="15" hidden="0" customWidth="1"/>
    <x:col min="8" max="8" width="15" hidden="0" customWidth="1"/>
    <x:col min="9" max="9" width="4.599999904632568" hidden="0" customWidth="1"/>
    <x:col min="10" max="10" width="4.599999904632568" hidden="0" customWidth="1"/>
    <x:col min="11" max="11" width="4.599999904632568" hidden="0" customWidth="1"/>
    <x:col min="12" max="12" width="4.599999904632568" hidden="0" customWidth="1"/>
    <x:col min="13" max="13" width="4.599999904632568" hidden="0" customWidth="1"/>
    <x:col min="14" max="14" width="4.599999904632568" hidden="0" customWidth="1"/>
    <x:col min="15" max="15" width="4.599999904632568" hidden="0" customWidth="1"/>
    <x:col min="16" max="16" width="4.599999904632568" hidden="0" customWidth="1"/>
    <x:col min="17" max="17" width="4.599999904632568" hidden="0" customWidth="1"/>
    <x:col min="18" max="18" width="4.599999904632568" hidden="0" customWidth="1"/>
    <x:col min="19" max="19" width="4.599999904632568" hidden="0" customWidth="1"/>
    <x:col min="20" max="20" width="4.599999904632568" hidden="0" customWidth="1"/>
    <x:col min="21" max="21" width="4.599999904632568" hidden="0" customWidth="1"/>
    <x:col min="22" max="22" width="4.599999904632568" hidden="0" customWidth="1"/>
    <x:col min="23" max="23" width="4.599999904632568" hidden="0" customWidth="1"/>
    <x:col min="24" max="24" width="4.599999904632568" hidden="0" customWidth="1"/>
    <x:col min="25" max="25" width="4.599999904632568" hidden="0" customWidth="1"/>
    <x:col min="26" max="26" width="4.59999990463256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Calendario académico de las tres fases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Corte 28/10/2026. Semana 12 confirmada por Dante. Calendario referencial calculado con semanas que comienzan un jueves.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Ventanas y fases propuestas. Las barras representan planificación de referencia, sin declarar ejecución o aprobación del docente.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54" customHeight="1">
      <x:c r="A5" s="21" t="str">
        <x:v>ID</x:v>
      </x:c>
      <x:c r="B5" s="21" t="str">
        <x:v>Fase</x:v>
      </x:c>
      <x:c r="C5" s="21" t="str">
        <x:v>Actividad</x:v>
      </x:c>
      <x:c r="D5" s="21" t="str">
        <x:v>Semana inicial</x:v>
      </x:c>
      <x:c r="E5" s="21" t="str">
        <x:v>Semana final</x:v>
      </x:c>
      <x:c r="F5" s="21" t="str">
        <x:v>Duración estimada (semanas)</x:v>
      </x:c>
      <x:c r="G5" s="21" t="str">
        <x:v>Inicio referencial</x:v>
      </x:c>
      <x:c r="H5" s="21" t="str">
        <x:v>Fin referencial</x:v>
      </x:c>
      <x:c r="I5" s="21" t="n">
        <x:v>1</x:v>
      </x:c>
      <x:c r="J5" s="21" t="n">
        <x:v>2</x:v>
      </x:c>
      <x:c r="K5" s="21" t="n">
        <x:v>3</x:v>
      </x:c>
      <x:c r="L5" s="21" t="n">
        <x:v>4</x:v>
      </x:c>
      <x:c r="M5" s="21" t="n">
        <x:v>5</x:v>
      </x:c>
      <x:c r="N5" s="21" t="n">
        <x:v>6</x:v>
      </x:c>
      <x:c r="O5" s="21" t="n">
        <x:v>7</x:v>
      </x:c>
      <x:c r="P5" s="21" t="n">
        <x:v>8</x:v>
      </x:c>
      <x:c r="Q5" s="21" t="n">
        <x:v>9</x:v>
      </x:c>
      <x:c r="R5" s="21" t="n">
        <x:v>10</x:v>
      </x:c>
      <x:c r="S5" s="21" t="n">
        <x:v>11</x:v>
      </x:c>
      <x:c r="T5" s="27" t="n">
        <x:v>12</x:v>
      </x:c>
      <x:c r="U5" s="21" t="n">
        <x:v>13</x:v>
      </x:c>
      <x:c r="V5" s="21" t="n">
        <x:v>14</x:v>
      </x:c>
      <x:c r="W5" s="21" t="n">
        <x:v>15</x:v>
      </x:c>
      <x:c r="X5" s="21" t="n">
        <x:v>16</x:v>
      </x:c>
      <x:c r="Y5" s="21" t="n">
        <x:v>17</x:v>
      </x:c>
      <x:c r="Z5" s="21" t="n">
        <x:v>18</x:v>
      </x:c>
    </x:row>
    <x:row r="6" ht="52" customHeight="1">
      <x:c r="A6" s="17" t="str">
        <x:v>F1-01</x:v>
      </x:c>
      <x:c r="B6" s="17" t="str">
        <x:v>Fase 1</x:v>
      </x:c>
      <x:c r="C6" s="17" t="str">
        <x:v>Requerimientos y reglas del negocio</x:v>
      </x:c>
      <x:c r="D6" s="22" t="n">
        <x:v>1</x:v>
      </x:c>
      <x:c r="E6" s="22" t="n">
        <x:v>2</x:v>
      </x:c>
      <x:c r="F6" s="23" t="n">
        <x:v>2</x:v>
      </x:c>
      <x:c r="G6" s="24" t="n">
        <x:f>$G$19+(D6-1)*7</x:f>
        <x:v>46240</x:v>
      </x:c>
      <x:c r="H6" s="24" t="n">
        <x:f>$G$19+E6*7-1</x:f>
        <x:v>46253</x:v>
      </x:c>
      <x:c r="I6" s="26" t="n">
        <x:f>IF(AND(I$5&gt;=$D6,I$5&lt;=$E6),1,0)</x:f>
        <x:v>1</x:v>
      </x:c>
      <x:c r="J6" s="26" t="n">
        <x:f>IF(AND(J$5&gt;=$D6,J$5&lt;=$E6),1,0)</x:f>
        <x:v>1</x:v>
      </x:c>
      <x:c r="K6" s="26" t="n">
        <x:f>IF(AND(K$5&gt;=$D6,K$5&lt;=$E6),1,0)</x:f>
        <x:v>0</x:v>
      </x:c>
      <x:c r="L6" s="26" t="n">
        <x:f>IF(AND(L$5&gt;=$D6,L$5&lt;=$E6),1,0)</x:f>
        <x:v>0</x:v>
      </x:c>
      <x:c r="M6" s="26" t="n">
        <x:f>IF(AND(M$5&gt;=$D6,M$5&lt;=$E6),1,0)</x:f>
        <x:v>0</x:v>
      </x:c>
      <x:c r="N6" s="26" t="n">
        <x:f>IF(AND(N$5&gt;=$D6,N$5&lt;=$E6),1,0)</x:f>
        <x:v>0</x:v>
      </x:c>
      <x:c r="O6" s="26" t="n">
        <x:f>IF(AND(O$5&gt;=$D6,O$5&lt;=$E6),1,0)</x:f>
        <x:v>0</x:v>
      </x:c>
      <x:c r="P6" s="26" t="n">
        <x:f>IF(AND(P$5&gt;=$D6,P$5&lt;=$E6),1,0)</x:f>
        <x:v>0</x:v>
      </x:c>
      <x:c r="Q6" s="26" t="n">
        <x:f>IF(AND(Q$5&gt;=$D6,Q$5&lt;=$E6),1,0)</x:f>
        <x:v>0</x:v>
      </x:c>
      <x:c r="R6" s="26" t="n">
        <x:f>IF(AND(R$5&gt;=$D6,R$5&lt;=$E6),1,0)</x:f>
        <x:v>0</x:v>
      </x:c>
      <x:c r="S6" s="26" t="n">
        <x:f>IF(AND(S$5&gt;=$D6,S$5&lt;=$E6),1,0)</x:f>
        <x:v>0</x:v>
      </x:c>
      <x:c r="T6" s="26" t="n">
        <x:f>IF(AND(T$5&gt;=$D6,T$5&lt;=$E6),1,0)</x:f>
        <x:v>0</x:v>
      </x:c>
      <x:c r="U6" s="26" t="n">
        <x:f>IF(AND(U$5&gt;=$D6,U$5&lt;=$E6),1,0)</x:f>
        <x:v>0</x:v>
      </x:c>
      <x:c r="V6" s="26" t="n">
        <x:f>IF(AND(V$5&gt;=$D6,V$5&lt;=$E6),1,0)</x:f>
        <x:v>0</x:v>
      </x:c>
      <x:c r="W6" s="26" t="n">
        <x:f>IF(AND(W$5&gt;=$D6,W$5&lt;=$E6),1,0)</x:f>
        <x:v>0</x:v>
      </x:c>
      <x:c r="X6" s="26" t="n">
        <x:f>IF(AND(X$5&gt;=$D6,X$5&lt;=$E6),1,0)</x:f>
        <x:v>0</x:v>
      </x:c>
      <x:c r="Y6" s="26" t="n">
        <x:f>IF(AND(Y$5&gt;=$D6,Y$5&lt;=$E6),1,0)</x:f>
        <x:v>0</x:v>
      </x:c>
      <x:c r="Z6" s="26" t="n">
        <x:f>IF(AND(Z$5&gt;=$D6,Z$5&lt;=$E6),1,0)</x:f>
        <x:v>0</x:v>
      </x:c>
    </x:row>
    <x:row r="7" ht="52" customHeight="1">
      <x:c r="A7" s="17" t="str">
        <x:v>F1-02</x:v>
      </x:c>
      <x:c r="B7" s="17" t="str">
        <x:v>Fase 1</x:v>
      </x:c>
      <x:c r="C7" s="17" t="str">
        <x:v>Modelo de datos y arquitectura</x:v>
      </x:c>
      <x:c r="D7" s="22" t="n">
        <x:v>3</x:v>
      </x:c>
      <x:c r="E7" s="22" t="n">
        <x:v>4</x:v>
      </x:c>
      <x:c r="F7" s="23" t="n">
        <x:v>1.5</x:v>
      </x:c>
      <x:c r="G7" s="24" t="n">
        <x:f>$G$19+(D7-1)*7</x:f>
        <x:v>46254</x:v>
      </x:c>
      <x:c r="H7" s="24" t="n">
        <x:f>$G$19+E7*7-1</x:f>
        <x:v>46267</x:v>
      </x:c>
      <x:c r="I7" s="26" t="n">
        <x:f>IF(AND(I$5&gt;=$D7,I$5&lt;=$E7),1,0)</x:f>
        <x:v>0</x:v>
      </x:c>
      <x:c r="J7" s="26" t="n">
        <x:f>IF(AND(J$5&gt;=$D7,J$5&lt;=$E7),1,0)</x:f>
        <x:v>0</x:v>
      </x:c>
      <x:c r="K7" s="26" t="n">
        <x:f>IF(AND(K$5&gt;=$D7,K$5&lt;=$E7),1,0)</x:f>
        <x:v>1</x:v>
      </x:c>
      <x:c r="L7" s="26" t="n">
        <x:f>IF(AND(L$5&gt;=$D7,L$5&lt;=$E7),1,0)</x:f>
        <x:v>1</x:v>
      </x:c>
      <x:c r="M7" s="26" t="n">
        <x:f>IF(AND(M$5&gt;=$D7,M$5&lt;=$E7),1,0)</x:f>
        <x:v>0</x:v>
      </x:c>
      <x:c r="N7" s="26" t="n">
        <x:f>IF(AND(N$5&gt;=$D7,N$5&lt;=$E7),1,0)</x:f>
        <x:v>0</x:v>
      </x:c>
      <x:c r="O7" s="26" t="n">
        <x:f>IF(AND(O$5&gt;=$D7,O$5&lt;=$E7),1,0)</x:f>
        <x:v>0</x:v>
      </x:c>
      <x:c r="P7" s="26" t="n">
        <x:f>IF(AND(P$5&gt;=$D7,P$5&lt;=$E7),1,0)</x:f>
        <x:v>0</x:v>
      </x:c>
      <x:c r="Q7" s="26" t="n">
        <x:f>IF(AND(Q$5&gt;=$D7,Q$5&lt;=$E7),1,0)</x:f>
        <x:v>0</x:v>
      </x:c>
      <x:c r="R7" s="26" t="n">
        <x:f>IF(AND(R$5&gt;=$D7,R$5&lt;=$E7),1,0)</x:f>
        <x:v>0</x:v>
      </x:c>
      <x:c r="S7" s="26" t="n">
        <x:f>IF(AND(S$5&gt;=$D7,S$5&lt;=$E7),1,0)</x:f>
        <x:v>0</x:v>
      </x:c>
      <x:c r="T7" s="26" t="n">
        <x:f>IF(AND(T$5&gt;=$D7,T$5&lt;=$E7),1,0)</x:f>
        <x:v>0</x:v>
      </x:c>
      <x:c r="U7" s="26" t="n">
        <x:f>IF(AND(U$5&gt;=$D7,U$5&lt;=$E7),1,0)</x:f>
        <x:v>0</x:v>
      </x:c>
      <x:c r="V7" s="26" t="n">
        <x:f>IF(AND(V$5&gt;=$D7,V$5&lt;=$E7),1,0)</x:f>
        <x:v>0</x:v>
      </x:c>
      <x:c r="W7" s="26" t="n">
        <x:f>IF(AND(W$5&gt;=$D7,W$5&lt;=$E7),1,0)</x:f>
        <x:v>0</x:v>
      </x:c>
      <x:c r="X7" s="26" t="n">
        <x:f>IF(AND(X$5&gt;=$D7,X$5&lt;=$E7),1,0)</x:f>
        <x:v>0</x:v>
      </x:c>
      <x:c r="Y7" s="26" t="n">
        <x:f>IF(AND(Y$5&gt;=$D7,Y$5&lt;=$E7),1,0)</x:f>
        <x:v>0</x:v>
      </x:c>
      <x:c r="Z7" s="26" t="n">
        <x:f>IF(AND(Z$5&gt;=$D7,Z$5&lt;=$E7),1,0)</x:f>
        <x:v>0</x:v>
      </x:c>
    </x:row>
    <x:row r="8" ht="52" customHeight="1">
      <x:c r="A8" s="17" t="str">
        <x:v>F1-03</x:v>
      </x:c>
      <x:c r="B8" s="17" t="str">
        <x:v>Fase 1</x:v>
      </x:c>
      <x:c r="C8" s="17" t="str">
        <x:v>Prototipos y planificación</x:v>
      </x:c>
      <x:c r="D8" s="22" t="n">
        <x:v>5</x:v>
      </x:c>
      <x:c r="E8" s="22" t="n">
        <x:v>6</x:v>
      </x:c>
      <x:c r="F8" s="23" t="n">
        <x:v>1.5</x:v>
      </x:c>
      <x:c r="G8" s="24" t="n">
        <x:f>$G$19+(D8-1)*7</x:f>
        <x:v>46268</x:v>
      </x:c>
      <x:c r="H8" s="24" t="n">
        <x:f>$G$19+E8*7-1</x:f>
        <x:v>46281</x:v>
      </x:c>
      <x:c r="I8" s="26" t="n">
        <x:f>IF(AND(I$5&gt;=$D8,I$5&lt;=$E8),1,0)</x:f>
        <x:v>0</x:v>
      </x:c>
      <x:c r="J8" s="26" t="n">
        <x:f>IF(AND(J$5&gt;=$D8,J$5&lt;=$E8),1,0)</x:f>
        <x:v>0</x:v>
      </x:c>
      <x:c r="K8" s="26" t="n">
        <x:f>IF(AND(K$5&gt;=$D8,K$5&lt;=$E8),1,0)</x:f>
        <x:v>0</x:v>
      </x:c>
      <x:c r="L8" s="26" t="n">
        <x:f>IF(AND(L$5&gt;=$D8,L$5&lt;=$E8),1,0)</x:f>
        <x:v>0</x:v>
      </x:c>
      <x:c r="M8" s="26" t="n">
        <x:f>IF(AND(M$5&gt;=$D8,M$5&lt;=$E8),1,0)</x:f>
        <x:v>1</x:v>
      </x:c>
      <x:c r="N8" s="26" t="n">
        <x:f>IF(AND(N$5&gt;=$D8,N$5&lt;=$E8),1,0)</x:f>
        <x:v>1</x:v>
      </x:c>
      <x:c r="O8" s="26" t="n">
        <x:f>IF(AND(O$5&gt;=$D8,O$5&lt;=$E8),1,0)</x:f>
        <x:v>0</x:v>
      </x:c>
      <x:c r="P8" s="26" t="n">
        <x:f>IF(AND(P$5&gt;=$D8,P$5&lt;=$E8),1,0)</x:f>
        <x:v>0</x:v>
      </x:c>
      <x:c r="Q8" s="26" t="n">
        <x:f>IF(AND(Q$5&gt;=$D8,Q$5&lt;=$E8),1,0)</x:f>
        <x:v>0</x:v>
      </x:c>
      <x:c r="R8" s="26" t="n">
        <x:f>IF(AND(R$5&gt;=$D8,R$5&lt;=$E8),1,0)</x:f>
        <x:v>0</x:v>
      </x:c>
      <x:c r="S8" s="26" t="n">
        <x:f>IF(AND(S$5&gt;=$D8,S$5&lt;=$E8),1,0)</x:f>
        <x:v>0</x:v>
      </x:c>
      <x:c r="T8" s="26" t="n">
        <x:f>IF(AND(T$5&gt;=$D8,T$5&lt;=$E8),1,0)</x:f>
        <x:v>0</x:v>
      </x:c>
      <x:c r="U8" s="26" t="n">
        <x:f>IF(AND(U$5&gt;=$D8,U$5&lt;=$E8),1,0)</x:f>
        <x:v>0</x:v>
      </x:c>
      <x:c r="V8" s="26" t="n">
        <x:f>IF(AND(V$5&gt;=$D8,V$5&lt;=$E8),1,0)</x:f>
        <x:v>0</x:v>
      </x:c>
      <x:c r="W8" s="26" t="n">
        <x:f>IF(AND(W$5&gt;=$D8,W$5&lt;=$E8),1,0)</x:f>
        <x:v>0</x:v>
      </x:c>
      <x:c r="X8" s="26" t="n">
        <x:f>IF(AND(X$5&gt;=$D8,X$5&lt;=$E8),1,0)</x:f>
        <x:v>0</x:v>
      </x:c>
      <x:c r="Y8" s="26" t="n">
        <x:f>IF(AND(Y$5&gt;=$D8,Y$5&lt;=$E8),1,0)</x:f>
        <x:v>0</x:v>
      </x:c>
      <x:c r="Z8" s="26" t="n">
        <x:f>IF(AND(Z$5&gt;=$D8,Z$5&lt;=$E8),1,0)</x:f>
        <x:v>0</x:v>
      </x:c>
    </x:row>
    <x:row r="9" ht="52" customHeight="1">
      <x:c r="A9" s="17" t="str">
        <x:v>F2-01</x:v>
      </x:c>
      <x:c r="B9" s="17" t="str">
        <x:v>Fase 2</x:v>
      </x:c>
      <x:c r="C9" s="17" t="str">
        <x:v>Inventario y órdenes de trabajo</x:v>
      </x:c>
      <x:c r="D9" s="22" t="n">
        <x:v>7</x:v>
      </x:c>
      <x:c r="E9" s="22" t="n">
        <x:v>8</x:v>
      </x:c>
      <x:c r="F9" s="23" t="n">
        <x:v>2</x:v>
      </x:c>
      <x:c r="G9" s="24" t="n">
        <x:f>$G$19+(D9-1)*7</x:f>
        <x:v>46282</x:v>
      </x:c>
      <x:c r="H9" s="24" t="n">
        <x:f>$G$19+E9*7-1</x:f>
        <x:v>46295</x:v>
      </x:c>
      <x:c r="I9" s="26" t="n">
        <x:f>IF(AND(I$5&gt;=$D9,I$5&lt;=$E9),1,0)</x:f>
        <x:v>0</x:v>
      </x:c>
      <x:c r="J9" s="26" t="n">
        <x:f>IF(AND(J$5&gt;=$D9,J$5&lt;=$E9),1,0)</x:f>
        <x:v>0</x:v>
      </x:c>
      <x:c r="K9" s="26" t="n">
        <x:f>IF(AND(K$5&gt;=$D9,K$5&lt;=$E9),1,0)</x:f>
        <x:v>0</x:v>
      </x:c>
      <x:c r="L9" s="26" t="n">
        <x:f>IF(AND(L$5&gt;=$D9,L$5&lt;=$E9),1,0)</x:f>
        <x:v>0</x:v>
      </x:c>
      <x:c r="M9" s="26" t="n">
        <x:f>IF(AND(M$5&gt;=$D9,M$5&lt;=$E9),1,0)</x:f>
        <x:v>0</x:v>
      </x:c>
      <x:c r="N9" s="26" t="n">
        <x:f>IF(AND(N$5&gt;=$D9,N$5&lt;=$E9),1,0)</x:f>
        <x:v>0</x:v>
      </x:c>
      <x:c r="O9" s="26" t="n">
        <x:f>IF(AND(O$5&gt;=$D9,O$5&lt;=$E9),1,0)</x:f>
        <x:v>1</x:v>
      </x:c>
      <x:c r="P9" s="26" t="n">
        <x:f>IF(AND(P$5&gt;=$D9,P$5&lt;=$E9),1,0)</x:f>
        <x:v>1</x:v>
      </x:c>
      <x:c r="Q9" s="26" t="n">
        <x:f>IF(AND(Q$5&gt;=$D9,Q$5&lt;=$E9),1,0)</x:f>
        <x:v>0</x:v>
      </x:c>
      <x:c r="R9" s="26" t="n">
        <x:f>IF(AND(R$5&gt;=$D9,R$5&lt;=$E9),1,0)</x:f>
        <x:v>0</x:v>
      </x:c>
      <x:c r="S9" s="26" t="n">
        <x:f>IF(AND(S$5&gt;=$D9,S$5&lt;=$E9),1,0)</x:f>
        <x:v>0</x:v>
      </x:c>
      <x:c r="T9" s="26" t="n">
        <x:f>IF(AND(T$5&gt;=$D9,T$5&lt;=$E9),1,0)</x:f>
        <x:v>0</x:v>
      </x:c>
      <x:c r="U9" s="26" t="n">
        <x:f>IF(AND(U$5&gt;=$D9,U$5&lt;=$E9),1,0)</x:f>
        <x:v>0</x:v>
      </x:c>
      <x:c r="V9" s="26" t="n">
        <x:f>IF(AND(V$5&gt;=$D9,V$5&lt;=$E9),1,0)</x:f>
        <x:v>0</x:v>
      </x:c>
      <x:c r="W9" s="26" t="n">
        <x:f>IF(AND(W$5&gt;=$D9,W$5&lt;=$E9),1,0)</x:f>
        <x:v>0</x:v>
      </x:c>
      <x:c r="X9" s="26" t="n">
        <x:f>IF(AND(X$5&gt;=$D9,X$5&lt;=$E9),1,0)</x:f>
        <x:v>0</x:v>
      </x:c>
      <x:c r="Y9" s="26" t="n">
        <x:f>IF(AND(Y$5&gt;=$D9,Y$5&lt;=$E9),1,0)</x:f>
        <x:v>0</x:v>
      </x:c>
      <x:c r="Z9" s="26" t="n">
        <x:f>IF(AND(Z$5&gt;=$D9,Z$5&lt;=$E9),1,0)</x:f>
        <x:v>0</x:v>
      </x:c>
    </x:row>
    <x:row r="10" ht="52" customHeight="1">
      <x:c r="A10" s="17" t="str">
        <x:v>F2-02</x:v>
      </x:c>
      <x:c r="B10" s="17" t="str">
        <x:v>Fase 2</x:v>
      </x:c>
      <x:c r="C10" s="17" t="str">
        <x:v>Retiro técnico terreno y recepción</x:v>
      </x:c>
      <x:c r="D10" s="22" t="n">
        <x:v>9</x:v>
      </x:c>
      <x:c r="E10" s="22" t="n">
        <x:v>10</x:v>
      </x:c>
      <x:c r="F10" s="23" t="n">
        <x:v>2</x:v>
      </x:c>
      <x:c r="G10" s="24" t="n">
        <x:f>$G$19+(D10-1)*7</x:f>
        <x:v>46296</x:v>
      </x:c>
      <x:c r="H10" s="24" t="n">
        <x:f>$G$19+E10*7-1</x:f>
        <x:v>46309</x:v>
      </x:c>
      <x:c r="I10" s="26" t="n">
        <x:f>IF(AND(I$5&gt;=$D10,I$5&lt;=$E10),1,0)</x:f>
        <x:v>0</x:v>
      </x:c>
      <x:c r="J10" s="26" t="n">
        <x:f>IF(AND(J$5&gt;=$D10,J$5&lt;=$E10),1,0)</x:f>
        <x:v>0</x:v>
      </x:c>
      <x:c r="K10" s="26" t="n">
        <x:f>IF(AND(K$5&gt;=$D10,K$5&lt;=$E10),1,0)</x:f>
        <x:v>0</x:v>
      </x:c>
      <x:c r="L10" s="26" t="n">
        <x:f>IF(AND(L$5&gt;=$D10,L$5&lt;=$E10),1,0)</x:f>
        <x:v>0</x:v>
      </x:c>
      <x:c r="M10" s="26" t="n">
        <x:f>IF(AND(M$5&gt;=$D10,M$5&lt;=$E10),1,0)</x:f>
        <x:v>0</x:v>
      </x:c>
      <x:c r="N10" s="26" t="n">
        <x:f>IF(AND(N$5&gt;=$D10,N$5&lt;=$E10),1,0)</x:f>
        <x:v>0</x:v>
      </x:c>
      <x:c r="O10" s="26" t="n">
        <x:f>IF(AND(O$5&gt;=$D10,O$5&lt;=$E10),1,0)</x:f>
        <x:v>0</x:v>
      </x:c>
      <x:c r="P10" s="26" t="n">
        <x:f>IF(AND(P$5&gt;=$D10,P$5&lt;=$E10),1,0)</x:f>
        <x:v>0</x:v>
      </x:c>
      <x:c r="Q10" s="26" t="n">
        <x:f>IF(AND(Q$5&gt;=$D10,Q$5&lt;=$E10),1,0)</x:f>
        <x:v>1</x:v>
      </x:c>
      <x:c r="R10" s="26" t="n">
        <x:f>IF(AND(R$5&gt;=$D10,R$5&lt;=$E10),1,0)</x:f>
        <x:v>1</x:v>
      </x:c>
      <x:c r="S10" s="26" t="n">
        <x:f>IF(AND(S$5&gt;=$D10,S$5&lt;=$E10),1,0)</x:f>
        <x:v>0</x:v>
      </x:c>
      <x:c r="T10" s="26" t="n">
        <x:f>IF(AND(T$5&gt;=$D10,T$5&lt;=$E10),1,0)</x:f>
        <x:v>0</x:v>
      </x:c>
      <x:c r="U10" s="26" t="n">
        <x:f>IF(AND(U$5&gt;=$D10,U$5&lt;=$E10),1,0)</x:f>
        <x:v>0</x:v>
      </x:c>
      <x:c r="V10" s="26" t="n">
        <x:f>IF(AND(V$5&gt;=$D10,V$5&lt;=$E10),1,0)</x:f>
        <x:v>0</x:v>
      </x:c>
      <x:c r="W10" s="26" t="n">
        <x:f>IF(AND(W$5&gt;=$D10,W$5&lt;=$E10),1,0)</x:f>
        <x:v>0</x:v>
      </x:c>
      <x:c r="X10" s="26" t="n">
        <x:f>IF(AND(X$5&gt;=$D10,X$5&lt;=$E10),1,0)</x:f>
        <x:v>0</x:v>
      </x:c>
      <x:c r="Y10" s="26" t="n">
        <x:f>IF(AND(Y$5&gt;=$D10,Y$5&lt;=$E10),1,0)</x:f>
        <x:v>0</x:v>
      </x:c>
      <x:c r="Z10" s="26" t="n">
        <x:f>IF(AND(Z$5&gt;=$D10,Z$5&lt;=$E10),1,0)</x:f>
        <x:v>0</x:v>
      </x:c>
    </x:row>
    <x:row r="11" ht="52" customHeight="1">
      <x:c r="A11" s="17" t="str">
        <x:v>F2-03</x:v>
      </x:c>
      <x:c r="B11" s="17" t="str">
        <x:v>Fase 2</x:v>
      </x:c>
      <x:c r="C11" s="17" t="str">
        <x:v>Integraciones y Power BI</x:v>
      </x:c>
      <x:c r="D11" s="22" t="n">
        <x:v>11</x:v>
      </x:c>
      <x:c r="E11" s="22" t="n">
        <x:v>11</x:v>
      </x:c>
      <x:c r="F11" s="23" t="n">
        <x:v>1</x:v>
      </x:c>
      <x:c r="G11" s="24" t="n">
        <x:f>$G$19+(D11-1)*7</x:f>
        <x:v>46310</x:v>
      </x:c>
      <x:c r="H11" s="24" t="n">
        <x:f>$G$19+E11*7-1</x:f>
        <x:v>46316</x:v>
      </x:c>
      <x:c r="I11" s="26" t="n">
        <x:f>IF(AND(I$5&gt;=$D11,I$5&lt;=$E11),1,0)</x:f>
        <x:v>0</x:v>
      </x:c>
      <x:c r="J11" s="26" t="n">
        <x:f>IF(AND(J$5&gt;=$D11,J$5&lt;=$E11),1,0)</x:f>
        <x:v>0</x:v>
      </x:c>
      <x:c r="K11" s="26" t="n">
        <x:f>IF(AND(K$5&gt;=$D11,K$5&lt;=$E11),1,0)</x:f>
        <x:v>0</x:v>
      </x:c>
      <x:c r="L11" s="26" t="n">
        <x:f>IF(AND(L$5&gt;=$D11,L$5&lt;=$E11),1,0)</x:f>
        <x:v>0</x:v>
      </x:c>
      <x:c r="M11" s="26" t="n">
        <x:f>IF(AND(M$5&gt;=$D11,M$5&lt;=$E11),1,0)</x:f>
        <x:v>0</x:v>
      </x:c>
      <x:c r="N11" s="26" t="n">
        <x:f>IF(AND(N$5&gt;=$D11,N$5&lt;=$E11),1,0)</x:f>
        <x:v>0</x:v>
      </x:c>
      <x:c r="O11" s="26" t="n">
        <x:f>IF(AND(O$5&gt;=$D11,O$5&lt;=$E11),1,0)</x:f>
        <x:v>0</x:v>
      </x:c>
      <x:c r="P11" s="26" t="n">
        <x:f>IF(AND(P$5&gt;=$D11,P$5&lt;=$E11),1,0)</x:f>
        <x:v>0</x:v>
      </x:c>
      <x:c r="Q11" s="26" t="n">
        <x:f>IF(AND(Q$5&gt;=$D11,Q$5&lt;=$E11),1,0)</x:f>
        <x:v>0</x:v>
      </x:c>
      <x:c r="R11" s="26" t="n">
        <x:f>IF(AND(R$5&gt;=$D11,R$5&lt;=$E11),1,0)</x:f>
        <x:v>0</x:v>
      </x:c>
      <x:c r="S11" s="26" t="n">
        <x:f>IF(AND(S$5&gt;=$D11,S$5&lt;=$E11),1,0)</x:f>
        <x:v>1</x:v>
      </x:c>
      <x:c r="T11" s="26" t="n">
        <x:f>IF(AND(T$5&gt;=$D11,T$5&lt;=$E11),1,0)</x:f>
        <x:v>0</x:v>
      </x:c>
      <x:c r="U11" s="26" t="n">
        <x:f>IF(AND(U$5&gt;=$D11,U$5&lt;=$E11),1,0)</x:f>
        <x:v>0</x:v>
      </x:c>
      <x:c r="V11" s="26" t="n">
        <x:f>IF(AND(V$5&gt;=$D11,V$5&lt;=$E11),1,0)</x:f>
        <x:v>0</x:v>
      </x:c>
      <x:c r="W11" s="26" t="n">
        <x:f>IF(AND(W$5&gt;=$D11,W$5&lt;=$E11),1,0)</x:f>
        <x:v>0</x:v>
      </x:c>
      <x:c r="X11" s="26" t="n">
        <x:f>IF(AND(X$5&gt;=$D11,X$5&lt;=$E11),1,0)</x:f>
        <x:v>0</x:v>
      </x:c>
      <x:c r="Y11" s="26" t="n">
        <x:f>IF(AND(Y$5&gt;=$D11,Y$5&lt;=$E11),1,0)</x:f>
        <x:v>0</x:v>
      </x:c>
      <x:c r="Z11" s="26" t="n">
        <x:f>IF(AND(Z$5&gt;=$D11,Z$5&lt;=$E11),1,0)</x:f>
        <x:v>0</x:v>
      </x:c>
    </x:row>
    <x:row r="12" ht="52" customHeight="1">
      <x:c r="A12" s="17" t="str">
        <x:v>F2-04</x:v>
      </x:c>
      <x:c r="B12" s="17" t="str">
        <x:v>Fase 2</x:v>
      </x:c>
      <x:c r="C12" s="17" t="str">
        <x:v>Integración pruebas y seguridad</x:v>
      </x:c>
      <x:c r="D12" s="22" t="n">
        <x:v>12</x:v>
      </x:c>
      <x:c r="E12" s="22" t="n">
        <x:v>14</x:v>
      </x:c>
      <x:c r="F12" s="23" t="n">
        <x:v>3</x:v>
      </x:c>
      <x:c r="G12" s="24" t="n">
        <x:f>$G$19+(D12-1)*7</x:f>
        <x:v>46317</x:v>
      </x:c>
      <x:c r="H12" s="24" t="n">
        <x:f>$G$19+E12*7-1</x:f>
        <x:v>46337</x:v>
      </x:c>
      <x:c r="I12" s="26" t="n">
        <x:f>IF(AND(I$5&gt;=$D12,I$5&lt;=$E12),1,0)</x:f>
        <x:v>0</x:v>
      </x:c>
      <x:c r="J12" s="26" t="n">
        <x:f>IF(AND(J$5&gt;=$D12,J$5&lt;=$E12),1,0)</x:f>
        <x:v>0</x:v>
      </x:c>
      <x:c r="K12" s="26" t="n">
        <x:f>IF(AND(K$5&gt;=$D12,K$5&lt;=$E12),1,0)</x:f>
        <x:v>0</x:v>
      </x:c>
      <x:c r="L12" s="26" t="n">
        <x:f>IF(AND(L$5&gt;=$D12,L$5&lt;=$E12),1,0)</x:f>
        <x:v>0</x:v>
      </x:c>
      <x:c r="M12" s="26" t="n">
        <x:f>IF(AND(M$5&gt;=$D12,M$5&lt;=$E12),1,0)</x:f>
        <x:v>0</x:v>
      </x:c>
      <x:c r="N12" s="26" t="n">
        <x:f>IF(AND(N$5&gt;=$D12,N$5&lt;=$E12),1,0)</x:f>
        <x:v>0</x:v>
      </x:c>
      <x:c r="O12" s="26" t="n">
        <x:f>IF(AND(O$5&gt;=$D12,O$5&lt;=$E12),1,0)</x:f>
        <x:v>0</x:v>
      </x:c>
      <x:c r="P12" s="26" t="n">
        <x:f>IF(AND(P$5&gt;=$D12,P$5&lt;=$E12),1,0)</x:f>
        <x:v>0</x:v>
      </x:c>
      <x:c r="Q12" s="26" t="n">
        <x:f>IF(AND(Q$5&gt;=$D12,Q$5&lt;=$E12),1,0)</x:f>
        <x:v>0</x:v>
      </x:c>
      <x:c r="R12" s="26" t="n">
        <x:f>IF(AND(R$5&gt;=$D12,R$5&lt;=$E12),1,0)</x:f>
        <x:v>0</x:v>
      </x:c>
      <x:c r="S12" s="26" t="n">
        <x:f>IF(AND(S$5&gt;=$D12,S$5&lt;=$E12),1,0)</x:f>
        <x:v>0</x:v>
      </x:c>
      <x:c r="T12" s="26" t="n">
        <x:f>IF(AND(T$5&gt;=$D12,T$5&lt;=$E12),1,0)</x:f>
        <x:v>1</x:v>
      </x:c>
      <x:c r="U12" s="26" t="n">
        <x:f>IF(AND(U$5&gt;=$D12,U$5&lt;=$E12),1,0)</x:f>
        <x:v>1</x:v>
      </x:c>
      <x:c r="V12" s="26" t="n">
        <x:f>IF(AND(V$5&gt;=$D12,V$5&lt;=$E12),1,0)</x:f>
        <x:v>1</x:v>
      </x:c>
      <x:c r="W12" s="26" t="n">
        <x:f>IF(AND(W$5&gt;=$D12,W$5&lt;=$E12),1,0)</x:f>
        <x:v>0</x:v>
      </x:c>
      <x:c r="X12" s="26" t="n">
        <x:f>IF(AND(X$5&gt;=$D12,X$5&lt;=$E12),1,0)</x:f>
        <x:v>0</x:v>
      </x:c>
      <x:c r="Y12" s="26" t="n">
        <x:f>IF(AND(Y$5&gt;=$D12,Y$5&lt;=$E12),1,0)</x:f>
        <x:v>0</x:v>
      </x:c>
      <x:c r="Z12" s="26" t="n">
        <x:f>IF(AND(Z$5&gt;=$D12,Z$5&lt;=$E12),1,0)</x:f>
        <x:v>0</x:v>
      </x:c>
    </x:row>
    <x:row r="13" ht="52" customHeight="1">
      <x:c r="A13" s="17" t="str">
        <x:v>F2-05</x:v>
      </x:c>
      <x:c r="B13" s="17" t="str">
        <x:v>Fase 2</x:v>
      </x:c>
      <x:c r="C13" s="17" t="str">
        <x:v>Correcciones e informe final</x:v>
      </x:c>
      <x:c r="D13" s="22" t="n">
        <x:v>15</x:v>
      </x:c>
      <x:c r="E13" s="22" t="n">
        <x:v>16</x:v>
      </x:c>
      <x:c r="F13" s="23" t="n">
        <x:v>2</x:v>
      </x:c>
      <x:c r="G13" s="24" t="n">
        <x:f>$G$19+(D13-1)*7</x:f>
        <x:v>46338</x:v>
      </x:c>
      <x:c r="H13" s="24" t="n">
        <x:f>$G$19+E13*7-1</x:f>
        <x:v>46351</x:v>
      </x:c>
      <x:c r="I13" s="26" t="n">
        <x:f>IF(AND(I$5&gt;=$D13,I$5&lt;=$E13),1,0)</x:f>
        <x:v>0</x:v>
      </x:c>
      <x:c r="J13" s="26" t="n">
        <x:f>IF(AND(J$5&gt;=$D13,J$5&lt;=$E13),1,0)</x:f>
        <x:v>0</x:v>
      </x:c>
      <x:c r="K13" s="26" t="n">
        <x:f>IF(AND(K$5&gt;=$D13,K$5&lt;=$E13),1,0)</x:f>
        <x:v>0</x:v>
      </x:c>
      <x:c r="L13" s="26" t="n">
        <x:f>IF(AND(L$5&gt;=$D13,L$5&lt;=$E13),1,0)</x:f>
        <x:v>0</x:v>
      </x:c>
      <x:c r="M13" s="26" t="n">
        <x:f>IF(AND(M$5&gt;=$D13,M$5&lt;=$E13),1,0)</x:f>
        <x:v>0</x:v>
      </x:c>
      <x:c r="N13" s="26" t="n">
        <x:f>IF(AND(N$5&gt;=$D13,N$5&lt;=$E13),1,0)</x:f>
        <x:v>0</x:v>
      </x:c>
      <x:c r="O13" s="26" t="n">
        <x:f>IF(AND(O$5&gt;=$D13,O$5&lt;=$E13),1,0)</x:f>
        <x:v>0</x:v>
      </x:c>
      <x:c r="P13" s="26" t="n">
        <x:f>IF(AND(P$5&gt;=$D13,P$5&lt;=$E13),1,0)</x:f>
        <x:v>0</x:v>
      </x:c>
      <x:c r="Q13" s="26" t="n">
        <x:f>IF(AND(Q$5&gt;=$D13,Q$5&lt;=$E13),1,0)</x:f>
        <x:v>0</x:v>
      </x:c>
      <x:c r="R13" s="26" t="n">
        <x:f>IF(AND(R$5&gt;=$D13,R$5&lt;=$E13),1,0)</x:f>
        <x:v>0</x:v>
      </x:c>
      <x:c r="S13" s="26" t="n">
        <x:f>IF(AND(S$5&gt;=$D13,S$5&lt;=$E13),1,0)</x:f>
        <x:v>0</x:v>
      </x:c>
      <x:c r="T13" s="26" t="n">
        <x:f>IF(AND(T$5&gt;=$D13,T$5&lt;=$E13),1,0)</x:f>
        <x:v>0</x:v>
      </x:c>
      <x:c r="U13" s="26" t="n">
        <x:f>IF(AND(U$5&gt;=$D13,U$5&lt;=$E13),1,0)</x:f>
        <x:v>0</x:v>
      </x:c>
      <x:c r="V13" s="26" t="n">
        <x:f>IF(AND(V$5&gt;=$D13,V$5&lt;=$E13),1,0)</x:f>
        <x:v>0</x:v>
      </x:c>
      <x:c r="W13" s="26" t="n">
        <x:f>IF(AND(W$5&gt;=$D13,W$5&lt;=$E13),1,0)</x:f>
        <x:v>1</x:v>
      </x:c>
      <x:c r="X13" s="26" t="n">
        <x:f>IF(AND(X$5&gt;=$D13,X$5&lt;=$E13),1,0)</x:f>
        <x:v>1</x:v>
      </x:c>
      <x:c r="Y13" s="26" t="n">
        <x:f>IF(AND(Y$5&gt;=$D13,Y$5&lt;=$E13),1,0)</x:f>
        <x:v>0</x:v>
      </x:c>
      <x:c r="Z13" s="26" t="n">
        <x:f>IF(AND(Z$5&gt;=$D13,Z$5&lt;=$E13),1,0)</x:f>
        <x:v>0</x:v>
      </x:c>
    </x:row>
    <x:row r="14" ht="52" customHeight="1">
      <x:c r="A14" s="17" t="str">
        <x:v>F3-01</x:v>
      </x:c>
      <x:c r="B14" s="17" t="str">
        <x:v>Fase 3</x:v>
      </x:c>
      <x:c r="C14" s="17" t="str">
        <x:v>Presentación y transferencia</x:v>
      </x:c>
      <x:c r="D14" s="22" t="n">
        <x:v>17</x:v>
      </x:c>
      <x:c r="E14" s="22" t="n">
        <x:v>18</x:v>
      </x:c>
      <x:c r="F14" s="23" t="n">
        <x:v>2</x:v>
      </x:c>
      <x:c r="G14" s="24" t="n">
        <x:f>$G$19+(D14-1)*7</x:f>
        <x:v>46352</x:v>
      </x:c>
      <x:c r="H14" s="24" t="n">
        <x:f>$G$19+E14*7-1</x:f>
        <x:v>46365</x:v>
      </x:c>
      <x:c r="I14" s="26" t="n">
        <x:f>IF(AND(I$5&gt;=$D14,I$5&lt;=$E14),1,0)</x:f>
        <x:v>0</x:v>
      </x:c>
      <x:c r="J14" s="26" t="n">
        <x:f>IF(AND(J$5&gt;=$D14,J$5&lt;=$E14),1,0)</x:f>
        <x:v>0</x:v>
      </x:c>
      <x:c r="K14" s="26" t="n">
        <x:f>IF(AND(K$5&gt;=$D14,K$5&lt;=$E14),1,0)</x:f>
        <x:v>0</x:v>
      </x:c>
      <x:c r="L14" s="26" t="n">
        <x:f>IF(AND(L$5&gt;=$D14,L$5&lt;=$E14),1,0)</x:f>
        <x:v>0</x:v>
      </x:c>
      <x:c r="M14" s="26" t="n">
        <x:f>IF(AND(M$5&gt;=$D14,M$5&lt;=$E14),1,0)</x:f>
        <x:v>0</x:v>
      </x:c>
      <x:c r="N14" s="26" t="n">
        <x:f>IF(AND(N$5&gt;=$D14,N$5&lt;=$E14),1,0)</x:f>
        <x:v>0</x:v>
      </x:c>
      <x:c r="O14" s="26" t="n">
        <x:f>IF(AND(O$5&gt;=$D14,O$5&lt;=$E14),1,0)</x:f>
        <x:v>0</x:v>
      </x:c>
      <x:c r="P14" s="26" t="n">
        <x:f>IF(AND(P$5&gt;=$D14,P$5&lt;=$E14),1,0)</x:f>
        <x:v>0</x:v>
      </x:c>
      <x:c r="Q14" s="26" t="n">
        <x:f>IF(AND(Q$5&gt;=$D14,Q$5&lt;=$E14),1,0)</x:f>
        <x:v>0</x:v>
      </x:c>
      <x:c r="R14" s="26" t="n">
        <x:f>IF(AND(R$5&gt;=$D14,R$5&lt;=$E14),1,0)</x:f>
        <x:v>0</x:v>
      </x:c>
      <x:c r="S14" s="26" t="n">
        <x:f>IF(AND(S$5&gt;=$D14,S$5&lt;=$E14),1,0)</x:f>
        <x:v>0</x:v>
      </x:c>
      <x:c r="T14" s="26" t="n">
        <x:f>IF(AND(T$5&gt;=$D14,T$5&lt;=$E14),1,0)</x:f>
        <x:v>0</x:v>
      </x:c>
      <x:c r="U14" s="26" t="n">
        <x:f>IF(AND(U$5&gt;=$D14,U$5&lt;=$E14),1,0)</x:f>
        <x:v>0</x:v>
      </x:c>
      <x:c r="V14" s="26" t="n">
        <x:f>IF(AND(V$5&gt;=$D14,V$5&lt;=$E14),1,0)</x:f>
        <x:v>0</x:v>
      </x:c>
      <x:c r="W14" s="26" t="n">
        <x:f>IF(AND(W$5&gt;=$D14,W$5&lt;=$E14),1,0)</x:f>
        <x:v>0</x:v>
      </x:c>
      <x:c r="X14" s="26" t="n">
        <x:f>IF(AND(X$5&gt;=$D14,X$5&lt;=$E14),1,0)</x:f>
        <x:v>0</x:v>
      </x:c>
      <x:c r="Y14" s="26" t="n">
        <x:f>IF(AND(Y$5&gt;=$D14,Y$5&lt;=$E14),1,0)</x:f>
        <x:v>1</x:v>
      </x:c>
      <x:c r="Z14" s="26" t="n">
        <x:f>IF(AND(Z$5&gt;=$D14,Z$5&lt;=$E14),1,0)</x:f>
        <x:v>1</x:v>
      </x:c>
    </x:row>
    <x:row r="15">
      <x:c r="A15" s="17"/>
      <x:c r="B15" s="17"/>
      <x:c r="C15" s="17"/>
      <x:c r="D15" s="22"/>
      <x:c r="E15" s="22"/>
      <x:c r="F15" s="25"/>
      <x:c r="G15" s="24"/>
      <x:c r="H15" s="24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 ht="42" customHeight="1">
      <x:c r="A16" s="17" t="str">
        <x:v>P-S2</x:v>
      </x:c>
      <x:c r="B16" s="17" t="str">
        <x:v>Pauta</x:v>
      </x:c>
      <x:c r="C16" s="17" t="str">
        <x:v>Formativa Fase 1</x:v>
      </x:c>
      <x:c r="D16" s="22" t="n">
        <x:v>2</x:v>
      </x:c>
      <x:c r="E16" s="22" t="n">
        <x:v>2</x:v>
      </x:c>
      <x:c r="F16" s="25"/>
      <x:c r="G16" s="24" t="n">
        <x:f>$G$19+(D16-1)*7</x:f>
        <x:v>46247</x:v>
      </x:c>
      <x:c r="H16" s="24" t="n">
        <x:f>$G$19+E16*7-1</x:f>
        <x:v>46253</x:v>
      </x:c>
      <x:c r="I16" s="26" t="n">
        <x:f>IF(AND(I$5&gt;=$D16,I$5&lt;=$E16),1,0)</x:f>
        <x:v>0</x:v>
      </x:c>
      <x:c r="J16" s="26" t="n">
        <x:f>IF(AND(J$5&gt;=$D16,J$5&lt;=$E16),1,0)</x:f>
        <x:v>1</x:v>
      </x:c>
      <x:c r="K16" s="26" t="n">
        <x:f>IF(AND(K$5&gt;=$D16,K$5&lt;=$E16),1,0)</x:f>
        <x:v>0</x:v>
      </x:c>
      <x:c r="L16" s="26" t="n">
        <x:f>IF(AND(L$5&gt;=$D16,L$5&lt;=$E16),1,0)</x:f>
        <x:v>0</x:v>
      </x:c>
      <x:c r="M16" s="26" t="n">
        <x:f>IF(AND(M$5&gt;=$D16,M$5&lt;=$E16),1,0)</x:f>
        <x:v>0</x:v>
      </x:c>
      <x:c r="N16" s="26" t="n">
        <x:f>IF(AND(N$5&gt;=$D16,N$5&lt;=$E16),1,0)</x:f>
        <x:v>0</x:v>
      </x:c>
      <x:c r="O16" s="26" t="n">
        <x:f>IF(AND(O$5&gt;=$D16,O$5&lt;=$E16),1,0)</x:f>
        <x:v>0</x:v>
      </x:c>
      <x:c r="P16" s="26" t="n">
        <x:f>IF(AND(P$5&gt;=$D16,P$5&lt;=$E16),1,0)</x:f>
        <x:v>0</x:v>
      </x:c>
      <x:c r="Q16" s="26" t="n">
        <x:f>IF(AND(Q$5&gt;=$D16,Q$5&lt;=$E16),1,0)</x:f>
        <x:v>0</x:v>
      </x:c>
      <x:c r="R16" s="26" t="n">
        <x:f>IF(AND(R$5&gt;=$D16,R$5&lt;=$E16),1,0)</x:f>
        <x:v>0</x:v>
      </x:c>
      <x:c r="S16" s="26" t="n">
        <x:f>IF(AND(S$5&gt;=$D16,S$5&lt;=$E16),1,0)</x:f>
        <x:v>0</x:v>
      </x:c>
      <x:c r="T16" s="26" t="n">
        <x:f>IF(AND(T$5&gt;=$D16,T$5&lt;=$E16),1,0)</x:f>
        <x:v>0</x:v>
      </x:c>
      <x:c r="U16" s="26" t="n">
        <x:f>IF(AND(U$5&gt;=$D16,U$5&lt;=$E16),1,0)</x:f>
        <x:v>0</x:v>
      </x:c>
      <x:c r="V16" s="26" t="n">
        <x:f>IF(AND(V$5&gt;=$D16,V$5&lt;=$E16),1,0)</x:f>
        <x:v>0</x:v>
      </x:c>
      <x:c r="W16" s="26" t="n">
        <x:f>IF(AND(W$5&gt;=$D16,W$5&lt;=$E16),1,0)</x:f>
        <x:v>0</x:v>
      </x:c>
      <x:c r="X16" s="26" t="n">
        <x:f>IF(AND(X$5&gt;=$D16,X$5&lt;=$E16),1,0)</x:f>
        <x:v>0</x:v>
      </x:c>
      <x:c r="Y16" s="26" t="n">
        <x:f>IF(AND(Y$5&gt;=$D16,Y$5&lt;=$E16),1,0)</x:f>
        <x:v>0</x:v>
      </x:c>
      <x:c r="Z16" s="26" t="n">
        <x:f>IF(AND(Z$5&gt;=$D16,Z$5&lt;=$E16),1,0)</x:f>
        <x:v>0</x:v>
      </x:c>
    </x:row>
    <x:row r="17" ht="42" customHeight="1">
      <x:c r="A17" s="17" t="str">
        <x:v>P-S9</x:v>
      </x:c>
      <x:c r="B17" s="17" t="str">
        <x:v>Pauta</x:v>
      </x:c>
      <x:c r="C17" s="17" t="str">
        <x:v>Avance Fase 2 (20%)</x:v>
      </x:c>
      <x:c r="D17" s="22" t="n">
        <x:v>9</x:v>
      </x:c>
      <x:c r="E17" s="22" t="n">
        <x:v>9</x:v>
      </x:c>
      <x:c r="F17" s="25"/>
      <x:c r="G17" s="24" t="n">
        <x:f>$G$19+(D17-1)*7</x:f>
        <x:v>46296</x:v>
      </x:c>
      <x:c r="H17" s="24" t="n">
        <x:f>$G$19+E17*7-1</x:f>
        <x:v>46302</x:v>
      </x:c>
      <x:c r="I17" s="26" t="n">
        <x:f>IF(AND(I$5&gt;=$D17,I$5&lt;=$E17),1,0)</x:f>
        <x:v>0</x:v>
      </x:c>
      <x:c r="J17" s="26" t="n">
        <x:f>IF(AND(J$5&gt;=$D17,J$5&lt;=$E17),1,0)</x:f>
        <x:v>0</x:v>
      </x:c>
      <x:c r="K17" s="26" t="n">
        <x:f>IF(AND(K$5&gt;=$D17,K$5&lt;=$E17),1,0)</x:f>
        <x:v>0</x:v>
      </x:c>
      <x:c r="L17" s="26" t="n">
        <x:f>IF(AND(L$5&gt;=$D17,L$5&lt;=$E17),1,0)</x:f>
        <x:v>0</x:v>
      </x:c>
      <x:c r="M17" s="26" t="n">
        <x:f>IF(AND(M$5&gt;=$D17,M$5&lt;=$E17),1,0)</x:f>
        <x:v>0</x:v>
      </x:c>
      <x:c r="N17" s="26" t="n">
        <x:f>IF(AND(N$5&gt;=$D17,N$5&lt;=$E17),1,0)</x:f>
        <x:v>0</x:v>
      </x:c>
      <x:c r="O17" s="26" t="n">
        <x:f>IF(AND(O$5&gt;=$D17,O$5&lt;=$E17),1,0)</x:f>
        <x:v>0</x:v>
      </x:c>
      <x:c r="P17" s="26" t="n">
        <x:f>IF(AND(P$5&gt;=$D17,P$5&lt;=$E17),1,0)</x:f>
        <x:v>0</x:v>
      </x:c>
      <x:c r="Q17" s="26" t="n">
        <x:f>IF(AND(Q$5&gt;=$D17,Q$5&lt;=$E17),1,0)</x:f>
        <x:v>1</x:v>
      </x:c>
      <x:c r="R17" s="26" t="n">
        <x:f>IF(AND(R$5&gt;=$D17,R$5&lt;=$E17),1,0)</x:f>
        <x:v>0</x:v>
      </x:c>
      <x:c r="S17" s="26" t="n">
        <x:f>IF(AND(S$5&gt;=$D17,S$5&lt;=$E17),1,0)</x:f>
        <x:v>0</x:v>
      </x:c>
      <x:c r="T17" s="26" t="n">
        <x:f>IF(AND(T$5&gt;=$D17,T$5&lt;=$E17),1,0)</x:f>
        <x:v>0</x:v>
      </x:c>
      <x:c r="U17" s="26" t="n">
        <x:f>IF(AND(U$5&gt;=$D17,U$5&lt;=$E17),1,0)</x:f>
        <x:v>0</x:v>
      </x:c>
      <x:c r="V17" s="26" t="n">
        <x:f>IF(AND(V$5&gt;=$D17,V$5&lt;=$E17),1,0)</x:f>
        <x:v>0</x:v>
      </x:c>
      <x:c r="W17" s="26" t="n">
        <x:f>IF(AND(W$5&gt;=$D17,W$5&lt;=$E17),1,0)</x:f>
        <x:v>0</x:v>
      </x:c>
      <x:c r="X17" s="26" t="n">
        <x:f>IF(AND(X$5&gt;=$D17,X$5&lt;=$E17),1,0)</x:f>
        <x:v>0</x:v>
      </x:c>
      <x:c r="Y17" s="26" t="n">
        <x:f>IF(AND(Y$5&gt;=$D17,Y$5&lt;=$E17),1,0)</x:f>
        <x:v>0</x:v>
      </x:c>
      <x:c r="Z17" s="26" t="n">
        <x:f>IF(AND(Z$5&gt;=$D17,Z$5&lt;=$E17),1,0)</x:f>
        <x:v>0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4" customHeight="1">
      <x:c r="A19" s="1"/>
      <x:c r="B19" s="1"/>
      <x:c r="C19" s="1" t="str">
        <x:v>Inicio referencial de semana 1</x:v>
      </x:c>
      <x:c r="D19" s="1"/>
      <x:c r="E19" s="1"/>
      <x:c r="F19" s="1"/>
      <x:c r="G19" s="5" t="d">
        <x:v>2026-08-06T00:00:00.000Z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4" customHeight="1">
      <x:c r="A20" s="1"/>
      <x:c r="B20" s="1"/>
      <x:c r="C20" s="1" t="str">
        <x:v>Fuente del anclaje: confirmación de Dante del 28/10/2026. S12 corresponde al 22–28/10/2026.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4" customHeight="1">
      <x:c r="A21" s="1"/>
      <x:c r="B21" s="1"/>
      <x:c r="C21" s="1" t="str">
        <x:v>Se calculan 18 semanas consecutivas de jueves a miércoles. Recesos o recuperaciones requieren validación docente.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4" customHeight="1">
      <x:c r="A22" s="1"/>
      <x:c r="B22" s="1"/>
      <x:c r="C22" s="1" t="str">
        <x:v>Fases propuestas: Fase 1 S1–S6 (6 semanas), Fase 2 S7–S16 (10 semanas) y Fase 3 S17–S18 (2 semanas).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4" customHeight="1">
      <x:c r="A23" s="1"/>
      <x:c r="B23" s="1"/>
      <x:c r="C23" s="1" t="str">
        <x:v>Hitos de pauta: documento 1.4, formativa S2 de 40 minutos; documento 2.5, avance S9 con ponderación de 20%.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4" customHeight="1">
      <x:c r="A24" s="1"/>
      <x:c r="B24" s="1"/>
      <x:c r="C24" s="1" t="str">
        <x:v>La entrega reportada para el 22/10 cae en S12 de este calendario calculado. Confirmar su adaptación con el docente.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4" customHeight="1">
      <x:c r="A25" s="1"/>
      <x:c r="B25" s="1"/>
      <x:c r="C25" s="1" t="str">
        <x:v>Entrega final y defensa no confirmadas. El 09/12/2026 representa el fin referencial de S18.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4" customHeight="1">
      <x:c r="A26" s="1"/>
      <x:c r="B26" s="1"/>
      <x:c r="C26" s="1" t="str">
        <x:v>Duraciones: guía 1.5, estimaciones históricas reorganizadas. No representan tiempo real registrado.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4" customHeight="1">
      <x:c r="A27" s="1"/>
      <x:c r="B27" s="1"/>
      <x:c r="C27" s="1" t="str">
        <x:v>El cierre histórico de 2–4 semanas se distribuye en 2 semanas de Fase 2 y 2 semanas de Fase 3.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</x:sheetData>
  <x:conditionalFormatting sqref="I6:Z8">
    <x:cfRule type="cellIs" dxfId="0" priority="1" operator="equal">
      <x:formula>1</x:formula>
    </x:cfRule>
  </x:conditionalFormatting>
  <x:conditionalFormatting sqref="I9:Z13">
    <x:cfRule type="cellIs" dxfId="1" priority="2" operator="equal">
      <x:formula>1</x:formula>
    </x:cfRule>
  </x:conditionalFormatting>
  <x:conditionalFormatting sqref="I14:Z14">
    <x:cfRule type="cellIs" dxfId="2" priority="3" operator="equal">
      <x:formula>1</x:formula>
    </x:cfRule>
  </x:conditionalFormatting>
  <x:conditionalFormatting sqref="I16:Z17">
    <x:cfRule type="cellIs" dxfId="3" priority="4" operator="equal"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44" hidden="0" customWidth="1"/>
    <x:col min="3" max="3" width="20" hidden="0" customWidth="1"/>
    <x:col min="4" max="4" width="12" hidden="0" customWidth="1"/>
    <x:col min="5" max="5" width="14" hidden="0" customWidth="1"/>
    <x:col min="6" max="6" width="12" hidden="0" customWidth="1"/>
    <x:col min="7" max="7" width="14" hidden="0" customWidth="1"/>
    <x:col min="8" max="8" width="30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2">
      <x:c r="A2" s="2" t="str">
        <x:v>Carta Gantt de sesiones propuestas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1" t="str">
        <x:v>Corte 28/10/2026. Continuidad futura de 22 sesiones de 3 horas. No son días consecutivos ni horas ejecutadas.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</x:row>
    <x:row r="4">
      <x:c r="A4" s="1" t="str">
        <x:v>Fecha de entrega y defensa por confirmar. H-SQL y H-LOCAL quedan fuera de estas 66 horas futuras estimadas.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 ht="50" customHeight="1">
      <x:c r="A5" s="32" t="str">
        <x:v>ID</x:v>
      </x:c>
      <x:c r="B5" s="32" t="str">
        <x:v>Actividad</x:v>
      </x:c>
      <x:c r="C5" s="32" t="str">
        <x:v>Responsable</x:v>
      </x:c>
      <x:c r="D5" s="32" t="str">
        <x:v>Sesión inicial</x:v>
      </x:c>
      <x:c r="E5" s="32" t="str">
        <x:v>Sesiones estimadas</x:v>
      </x:c>
      <x:c r="F5" s="32" t="str">
        <x:v>Sesión final</x:v>
      </x:c>
      <x:c r="G5" s="32" t="str">
        <x:v>Horas propuestas</x:v>
      </x:c>
      <x:c r="H5" s="32" t="str">
        <x:v>Dependencia</x:v>
      </x:c>
      <x:c r="I5" s="32" t="n">
        <x:v>1</x:v>
      </x:c>
      <x:c r="J5" s="32" t="n">
        <x:v>2</x:v>
      </x:c>
      <x:c r="K5" s="32" t="n">
        <x:v>3</x:v>
      </x:c>
      <x:c r="L5" s="32" t="n">
        <x:v>4</x:v>
      </x:c>
      <x:c r="M5" s="32" t="n">
        <x:v>5</x:v>
      </x:c>
      <x:c r="N5" s="32" t="n">
        <x:v>6</x:v>
      </x:c>
      <x:c r="O5" s="32" t="n">
        <x:v>7</x:v>
      </x:c>
      <x:c r="P5" s="32" t="n">
        <x:v>8</x:v>
      </x:c>
      <x:c r="Q5" s="32" t="n">
        <x:v>9</x:v>
      </x:c>
      <x:c r="R5" s="32" t="n">
        <x:v>10</x:v>
      </x:c>
      <x:c r="S5" s="32" t="n">
        <x:v>11</x:v>
      </x:c>
      <x:c r="T5" s="32" t="n">
        <x:v>12</x:v>
      </x:c>
      <x:c r="U5" s="32" t="n">
        <x:v>13</x:v>
      </x:c>
      <x:c r="V5" s="32" t="n">
        <x:v>14</x:v>
      </x:c>
      <x:c r="W5" s="32" t="n">
        <x:v>15</x:v>
      </x:c>
      <x:c r="X5" s="32" t="n">
        <x:v>16</x:v>
      </x:c>
      <x:c r="Y5" s="32" t="n">
        <x:v>17</x:v>
      </x:c>
      <x:c r="Z5" s="32" t="n">
        <x:v>18</x:v>
      </x:c>
      <x:c r="AA5" s="32" t="n">
        <x:v>19</x:v>
      </x:c>
      <x:c r="AB5" s="32" t="n">
        <x:v>20</x:v>
      </x:c>
      <x:c r="AC5" s="32" t="n">
        <x:v>21</x:v>
      </x:c>
      <x:c r="AD5" s="32" t="n">
        <x:v>22</x:v>
      </x:c>
    </x:row>
    <x:row r="6" ht="50" customHeight="1">
      <x:c r="A6" s="17" t="str">
        <x:v>G01</x:v>
      </x:c>
      <x:c r="B6" s="17" t="str">
        <x:v>Revisar contratos persistentes y plan</x:v>
      </x:c>
      <x:c r="C6" s="17" t="str">
        <x:v>Dante Moya</x:v>
      </x:c>
      <x:c r="D6" s="17" t="n">
        <x:v>1</x:v>
      </x:c>
      <x:c r="E6" s="17" t="n">
        <x:v>1</x:v>
      </x:c>
      <x:c r="F6" s="17" t="n">
        <x:f>D6+E6-1</x:f>
        <x:v>1</x:v>
      </x:c>
      <x:c r="G6" s="25" t="n">
        <x:f>E6*3</x:f>
        <x:v>3</x:v>
      </x:c>
      <x:c r="H6" s="17" t="str">
        <x:v>Inicio</x:v>
      </x:c>
      <x:c r="I6" s="26" t="n">
        <x:f>IF(AND(I$5&gt;=$D6,I$5&lt;=$F6),1,0)</x:f>
        <x:v>1</x:v>
      </x:c>
      <x:c r="J6" s="26" t="n">
        <x:f>IF(AND(J$5&gt;=$D6,J$5&lt;=$F6),1,0)</x:f>
        <x:v>0</x:v>
      </x:c>
      <x:c r="K6" s="26" t="n">
        <x:f>IF(AND(K$5&gt;=$D6,K$5&lt;=$F6),1,0)</x:f>
        <x:v>0</x:v>
      </x:c>
      <x:c r="L6" s="26" t="n">
        <x:f>IF(AND(L$5&gt;=$D6,L$5&lt;=$F6),1,0)</x:f>
        <x:v>0</x:v>
      </x:c>
      <x:c r="M6" s="26" t="n">
        <x:f>IF(AND(M$5&gt;=$D6,M$5&lt;=$F6),1,0)</x:f>
        <x:v>0</x:v>
      </x:c>
      <x:c r="N6" s="26" t="n">
        <x:f>IF(AND(N$5&gt;=$D6,N$5&lt;=$F6),1,0)</x:f>
        <x:v>0</x:v>
      </x:c>
      <x:c r="O6" s="26" t="n">
        <x:f>IF(AND(O$5&gt;=$D6,O$5&lt;=$F6),1,0)</x:f>
        <x:v>0</x:v>
      </x:c>
      <x:c r="P6" s="26" t="n">
        <x:f>IF(AND(P$5&gt;=$D6,P$5&lt;=$F6),1,0)</x:f>
        <x:v>0</x:v>
      </x:c>
      <x:c r="Q6" s="26" t="n">
        <x:f>IF(AND(Q$5&gt;=$D6,Q$5&lt;=$F6),1,0)</x:f>
        <x:v>0</x:v>
      </x:c>
      <x:c r="R6" s="26" t="n">
        <x:f>IF(AND(R$5&gt;=$D6,R$5&lt;=$F6),1,0)</x:f>
        <x:v>0</x:v>
      </x:c>
      <x:c r="S6" s="26" t="n">
        <x:f>IF(AND(S$5&gt;=$D6,S$5&lt;=$F6),1,0)</x:f>
        <x:v>0</x:v>
      </x:c>
      <x:c r="T6" s="26" t="n">
        <x:f>IF(AND(T$5&gt;=$D6,T$5&lt;=$F6),1,0)</x:f>
        <x:v>0</x:v>
      </x:c>
      <x:c r="U6" s="26" t="n">
        <x:f>IF(AND(U$5&gt;=$D6,U$5&lt;=$F6),1,0)</x:f>
        <x:v>0</x:v>
      </x:c>
      <x:c r="V6" s="26" t="n">
        <x:f>IF(AND(V$5&gt;=$D6,V$5&lt;=$F6),1,0)</x:f>
        <x:v>0</x:v>
      </x:c>
      <x:c r="W6" s="26" t="n">
        <x:f>IF(AND(W$5&gt;=$D6,W$5&lt;=$F6),1,0)</x:f>
        <x:v>0</x:v>
      </x:c>
      <x:c r="X6" s="26" t="n">
        <x:f>IF(AND(X$5&gt;=$D6,X$5&lt;=$F6),1,0)</x:f>
        <x:v>0</x:v>
      </x:c>
      <x:c r="Y6" s="26" t="n">
        <x:f>IF(AND(Y$5&gt;=$D6,Y$5&lt;=$F6),1,0)</x:f>
        <x:v>0</x:v>
      </x:c>
      <x:c r="Z6" s="26" t="n">
        <x:f>IF(AND(Z$5&gt;=$D6,Z$5&lt;=$F6),1,0)</x:f>
        <x:v>0</x:v>
      </x:c>
      <x:c r="AA6" s="26" t="n">
        <x:f>IF(AND(AA$5&gt;=$D6,AA$5&lt;=$F6),1,0)</x:f>
        <x:v>0</x:v>
      </x:c>
      <x:c r="AB6" s="26" t="n">
        <x:f>IF(AND(AB$5&gt;=$D6,AB$5&lt;=$F6),1,0)</x:f>
        <x:v>0</x:v>
      </x:c>
      <x:c r="AC6" s="26" t="n">
        <x:f>IF(AND(AC$5&gt;=$D6,AC$5&lt;=$F6),1,0)</x:f>
        <x:v>0</x:v>
      </x:c>
      <x:c r="AD6" s="26" t="n">
        <x:f>IF(AND(AD$5&gt;=$D6,AD$5&lt;=$F6),1,0)</x:f>
        <x:v>0</x:v>
      </x:c>
    </x:row>
    <x:row r="7" ht="50" customHeight="1">
      <x:c r="A7" s="17" t="str">
        <x:v>G02</x:v>
      </x:c>
      <x:c r="B7" s="17" t="str">
        <x:v>Persistencia del flujo y transacciones</x:v>
      </x:c>
      <x:c r="C7" s="17" t="str">
        <x:v>Dante Moya</x:v>
      </x:c>
      <x:c r="D7" s="17" t="n">
        <x:f>F6+1</x:f>
        <x:v>2</x:v>
      </x:c>
      <x:c r="E7" s="17" t="n">
        <x:v>4</x:v>
      </x:c>
      <x:c r="F7" s="17" t="n">
        <x:f>D7+E7-1</x:f>
        <x:v>5</x:v>
      </x:c>
      <x:c r="G7" s="25" t="n">
        <x:f>E7*3</x:f>
        <x:v>12</x:v>
      </x:c>
      <x:c r="H7" s="17" t="str">
        <x:v>G01</x:v>
      </x:c>
      <x:c r="I7" s="26" t="n">
        <x:f>IF(AND(I$5&gt;=$D7,I$5&lt;=$F7),1,0)</x:f>
        <x:v>0</x:v>
      </x:c>
      <x:c r="J7" s="26" t="n">
        <x:f>IF(AND(J$5&gt;=$D7,J$5&lt;=$F7),1,0)</x:f>
        <x:v>1</x:v>
      </x:c>
      <x:c r="K7" s="26" t="n">
        <x:f>IF(AND(K$5&gt;=$D7,K$5&lt;=$F7),1,0)</x:f>
        <x:v>1</x:v>
      </x:c>
      <x:c r="L7" s="26" t="n">
        <x:f>IF(AND(L$5&gt;=$D7,L$5&lt;=$F7),1,0)</x:f>
        <x:v>1</x:v>
      </x:c>
      <x:c r="M7" s="26" t="n">
        <x:f>IF(AND(M$5&gt;=$D7,M$5&lt;=$F7),1,0)</x:f>
        <x:v>1</x:v>
      </x:c>
      <x:c r="N7" s="26" t="n">
        <x:f>IF(AND(N$5&gt;=$D7,N$5&lt;=$F7),1,0)</x:f>
        <x:v>0</x:v>
      </x:c>
      <x:c r="O7" s="26" t="n">
        <x:f>IF(AND(O$5&gt;=$D7,O$5&lt;=$F7),1,0)</x:f>
        <x:v>0</x:v>
      </x:c>
      <x:c r="P7" s="26" t="n">
        <x:f>IF(AND(P$5&gt;=$D7,P$5&lt;=$F7),1,0)</x:f>
        <x:v>0</x:v>
      </x:c>
      <x:c r="Q7" s="26" t="n">
        <x:f>IF(AND(Q$5&gt;=$D7,Q$5&lt;=$F7),1,0)</x:f>
        <x:v>0</x:v>
      </x:c>
      <x:c r="R7" s="26" t="n">
        <x:f>IF(AND(R$5&gt;=$D7,R$5&lt;=$F7),1,0)</x:f>
        <x:v>0</x:v>
      </x:c>
      <x:c r="S7" s="26" t="n">
        <x:f>IF(AND(S$5&gt;=$D7,S$5&lt;=$F7),1,0)</x:f>
        <x:v>0</x:v>
      </x:c>
      <x:c r="T7" s="26" t="n">
        <x:f>IF(AND(T$5&gt;=$D7,T$5&lt;=$F7),1,0)</x:f>
        <x:v>0</x:v>
      </x:c>
      <x:c r="U7" s="26" t="n">
        <x:f>IF(AND(U$5&gt;=$D7,U$5&lt;=$F7),1,0)</x:f>
        <x:v>0</x:v>
      </x:c>
      <x:c r="V7" s="26" t="n">
        <x:f>IF(AND(V$5&gt;=$D7,V$5&lt;=$F7),1,0)</x:f>
        <x:v>0</x:v>
      </x:c>
      <x:c r="W7" s="26" t="n">
        <x:f>IF(AND(W$5&gt;=$D7,W$5&lt;=$F7),1,0)</x:f>
        <x:v>0</x:v>
      </x:c>
      <x:c r="X7" s="26" t="n">
        <x:f>IF(AND(X$5&gt;=$D7,X$5&lt;=$F7),1,0)</x:f>
        <x:v>0</x:v>
      </x:c>
      <x:c r="Y7" s="26" t="n">
        <x:f>IF(AND(Y$5&gt;=$D7,Y$5&lt;=$F7),1,0)</x:f>
        <x:v>0</x:v>
      </x:c>
      <x:c r="Z7" s="26" t="n">
        <x:f>IF(AND(Z$5&gt;=$D7,Z$5&lt;=$F7),1,0)</x:f>
        <x:v>0</x:v>
      </x:c>
      <x:c r="AA7" s="26" t="n">
        <x:f>IF(AND(AA$5&gt;=$D7,AA$5&lt;=$F7),1,0)</x:f>
        <x:v>0</x:v>
      </x:c>
      <x:c r="AB7" s="26" t="n">
        <x:f>IF(AND(AB$5&gt;=$D7,AB$5&lt;=$F7),1,0)</x:f>
        <x:v>0</x:v>
      </x:c>
      <x:c r="AC7" s="26" t="n">
        <x:f>IF(AND(AC$5&gt;=$D7,AC$5&lt;=$F7),1,0)</x:f>
        <x:v>0</x:v>
      </x:c>
      <x:c r="AD7" s="26" t="n">
        <x:f>IF(AND(AD$5&gt;=$D7,AD$5&lt;=$F7),1,0)</x:f>
        <x:v>0</x:v>
      </x:c>
    </x:row>
    <x:row r="8" ht="50" customHeight="1">
      <x:c r="A8" s="17" t="str">
        <x:v>G03</x:v>
      </x:c>
      <x:c r="B8" s="17" t="str">
        <x:v>Identidad real y almacenamiento privado de archivos</x:v>
      </x:c>
      <x:c r="C8" s="17" t="str">
        <x:v>Dante Moya</x:v>
      </x:c>
      <x:c r="D8" s="17" t="n">
        <x:f>F7+1</x:f>
        <x:v>6</x:v>
      </x:c>
      <x:c r="E8" s="17" t="n">
        <x:v>3</x:v>
      </x:c>
      <x:c r="F8" s="17" t="n">
        <x:f>D8+E8-1</x:f>
        <x:v>8</x:v>
      </x:c>
      <x:c r="G8" s="25" t="n">
        <x:f>E8*3</x:f>
        <x:v>9</x:v>
      </x:c>
      <x:c r="H8" s="17" t="str">
        <x:v>G02</x:v>
      </x:c>
      <x:c r="I8" s="26" t="n">
        <x:f>IF(AND(I$5&gt;=$D8,I$5&lt;=$F8),1,0)</x:f>
        <x:v>0</x:v>
      </x:c>
      <x:c r="J8" s="26" t="n">
        <x:f>IF(AND(J$5&gt;=$D8,J$5&lt;=$F8),1,0)</x:f>
        <x:v>0</x:v>
      </x:c>
      <x:c r="K8" s="26" t="n">
        <x:f>IF(AND(K$5&gt;=$D8,K$5&lt;=$F8),1,0)</x:f>
        <x:v>0</x:v>
      </x:c>
      <x:c r="L8" s="26" t="n">
        <x:f>IF(AND(L$5&gt;=$D8,L$5&lt;=$F8),1,0)</x:f>
        <x:v>0</x:v>
      </x:c>
      <x:c r="M8" s="26" t="n">
        <x:f>IF(AND(M$5&gt;=$D8,M$5&lt;=$F8),1,0)</x:f>
        <x:v>0</x:v>
      </x:c>
      <x:c r="N8" s="26" t="n">
        <x:f>IF(AND(N$5&gt;=$D8,N$5&lt;=$F8),1,0)</x:f>
        <x:v>1</x:v>
      </x:c>
      <x:c r="O8" s="26" t="n">
        <x:f>IF(AND(O$5&gt;=$D8,O$5&lt;=$F8),1,0)</x:f>
        <x:v>1</x:v>
      </x:c>
      <x:c r="P8" s="26" t="n">
        <x:f>IF(AND(P$5&gt;=$D8,P$5&lt;=$F8),1,0)</x:f>
        <x:v>1</x:v>
      </x:c>
      <x:c r="Q8" s="26" t="n">
        <x:f>IF(AND(Q$5&gt;=$D8,Q$5&lt;=$F8),1,0)</x:f>
        <x:v>0</x:v>
      </x:c>
      <x:c r="R8" s="26" t="n">
        <x:f>IF(AND(R$5&gt;=$D8,R$5&lt;=$F8),1,0)</x:f>
        <x:v>0</x:v>
      </x:c>
      <x:c r="S8" s="26" t="n">
        <x:f>IF(AND(S$5&gt;=$D8,S$5&lt;=$F8),1,0)</x:f>
        <x:v>0</x:v>
      </x:c>
      <x:c r="T8" s="26" t="n">
        <x:f>IF(AND(T$5&gt;=$D8,T$5&lt;=$F8),1,0)</x:f>
        <x:v>0</x:v>
      </x:c>
      <x:c r="U8" s="26" t="n">
        <x:f>IF(AND(U$5&gt;=$D8,U$5&lt;=$F8),1,0)</x:f>
        <x:v>0</x:v>
      </x:c>
      <x:c r="V8" s="26" t="n">
        <x:f>IF(AND(V$5&gt;=$D8,V$5&lt;=$F8),1,0)</x:f>
        <x:v>0</x:v>
      </x:c>
      <x:c r="W8" s="26" t="n">
        <x:f>IF(AND(W$5&gt;=$D8,W$5&lt;=$F8),1,0)</x:f>
        <x:v>0</x:v>
      </x:c>
      <x:c r="X8" s="26" t="n">
        <x:f>IF(AND(X$5&gt;=$D8,X$5&lt;=$F8),1,0)</x:f>
        <x:v>0</x:v>
      </x:c>
      <x:c r="Y8" s="26" t="n">
        <x:f>IF(AND(Y$5&gt;=$D8,Y$5&lt;=$F8),1,0)</x:f>
        <x:v>0</x:v>
      </x:c>
      <x:c r="Z8" s="26" t="n">
        <x:f>IF(AND(Z$5&gt;=$D8,Z$5&lt;=$F8),1,0)</x:f>
        <x:v>0</x:v>
      </x:c>
      <x:c r="AA8" s="26" t="n">
        <x:f>IF(AND(AA$5&gt;=$D8,AA$5&lt;=$F8),1,0)</x:f>
        <x:v>0</x:v>
      </x:c>
      <x:c r="AB8" s="26" t="n">
        <x:f>IF(AND(AB$5&gt;=$D8,AB$5&lt;=$F8),1,0)</x:f>
        <x:v>0</x:v>
      </x:c>
      <x:c r="AC8" s="26" t="n">
        <x:f>IF(AND(AC$5&gt;=$D8,AC$5&lt;=$F8),1,0)</x:f>
        <x:v>0</x:v>
      </x:c>
      <x:c r="AD8" s="26" t="n">
        <x:f>IF(AND(AD$5&gt;=$D8,AD$5&lt;=$F8),1,0)</x:f>
        <x:v>0</x:v>
      </x:c>
    </x:row>
    <x:row r="9" ht="50" customHeight="1">
      <x:c r="A9" s="17" t="str">
        <x:v>G04</x:v>
      </x:c>
      <x:c r="B9" s="17" t="str">
        <x:v>Pruebas de reinicio y aislamiento</x:v>
      </x:c>
      <x:c r="C9" s="17" t="str">
        <x:v>Dante Moya</x:v>
      </x:c>
      <x:c r="D9" s="17" t="n">
        <x:f>F8+1</x:f>
        <x:v>9</x:v>
      </x:c>
      <x:c r="E9" s="17" t="n">
        <x:v>2</x:v>
      </x:c>
      <x:c r="F9" s="17" t="n">
        <x:f>D9+E9-1</x:f>
        <x:v>10</x:v>
      </x:c>
      <x:c r="G9" s="25" t="n">
        <x:f>E9*3</x:f>
        <x:v>6</x:v>
      </x:c>
      <x:c r="H9" s="17" t="str">
        <x:v>G02 G03</x:v>
      </x:c>
      <x:c r="I9" s="26" t="n">
        <x:f>IF(AND(I$5&gt;=$D9,I$5&lt;=$F9),1,0)</x:f>
        <x:v>0</x:v>
      </x:c>
      <x:c r="J9" s="26" t="n">
        <x:f>IF(AND(J$5&gt;=$D9,J$5&lt;=$F9),1,0)</x:f>
        <x:v>0</x:v>
      </x:c>
      <x:c r="K9" s="26" t="n">
        <x:f>IF(AND(K$5&gt;=$D9,K$5&lt;=$F9),1,0)</x:f>
        <x:v>0</x:v>
      </x:c>
      <x:c r="L9" s="26" t="n">
        <x:f>IF(AND(L$5&gt;=$D9,L$5&lt;=$F9),1,0)</x:f>
        <x:v>0</x:v>
      </x:c>
      <x:c r="M9" s="26" t="n">
        <x:f>IF(AND(M$5&gt;=$D9,M$5&lt;=$F9),1,0)</x:f>
        <x:v>0</x:v>
      </x:c>
      <x:c r="N9" s="26" t="n">
        <x:f>IF(AND(N$5&gt;=$D9,N$5&lt;=$F9),1,0)</x:f>
        <x:v>0</x:v>
      </x:c>
      <x:c r="O9" s="26" t="n">
        <x:f>IF(AND(O$5&gt;=$D9,O$5&lt;=$F9),1,0)</x:f>
        <x:v>0</x:v>
      </x:c>
      <x:c r="P9" s="26" t="n">
        <x:f>IF(AND(P$5&gt;=$D9,P$5&lt;=$F9),1,0)</x:f>
        <x:v>0</x:v>
      </x:c>
      <x:c r="Q9" s="26" t="n">
        <x:f>IF(AND(Q$5&gt;=$D9,Q$5&lt;=$F9),1,0)</x:f>
        <x:v>1</x:v>
      </x:c>
      <x:c r="R9" s="26" t="n">
        <x:f>IF(AND(R$5&gt;=$D9,R$5&lt;=$F9),1,0)</x:f>
        <x:v>1</x:v>
      </x:c>
      <x:c r="S9" s="26" t="n">
        <x:f>IF(AND(S$5&gt;=$D9,S$5&lt;=$F9),1,0)</x:f>
        <x:v>0</x:v>
      </x:c>
      <x:c r="T9" s="26" t="n">
        <x:f>IF(AND(T$5&gt;=$D9,T$5&lt;=$F9),1,0)</x:f>
        <x:v>0</x:v>
      </x:c>
      <x:c r="U9" s="26" t="n">
        <x:f>IF(AND(U$5&gt;=$D9,U$5&lt;=$F9),1,0)</x:f>
        <x:v>0</x:v>
      </x:c>
      <x:c r="V9" s="26" t="n">
        <x:f>IF(AND(V$5&gt;=$D9,V$5&lt;=$F9),1,0)</x:f>
        <x:v>0</x:v>
      </x:c>
      <x:c r="W9" s="26" t="n">
        <x:f>IF(AND(W$5&gt;=$D9,W$5&lt;=$F9),1,0)</x:f>
        <x:v>0</x:v>
      </x:c>
      <x:c r="X9" s="26" t="n">
        <x:f>IF(AND(X$5&gt;=$D9,X$5&lt;=$F9),1,0)</x:f>
        <x:v>0</x:v>
      </x:c>
      <x:c r="Y9" s="26" t="n">
        <x:f>IF(AND(Y$5&gt;=$D9,Y$5&lt;=$F9),1,0)</x:f>
        <x:v>0</x:v>
      </x:c>
      <x:c r="Z9" s="26" t="n">
        <x:f>IF(AND(Z$5&gt;=$D9,Z$5&lt;=$F9),1,0)</x:f>
        <x:v>0</x:v>
      </x:c>
      <x:c r="AA9" s="26" t="n">
        <x:f>IF(AND(AA$5&gt;=$D9,AA$5&lt;=$F9),1,0)</x:f>
        <x:v>0</x:v>
      </x:c>
      <x:c r="AB9" s="26" t="n">
        <x:f>IF(AND(AB$5&gt;=$D9,AB$5&lt;=$F9),1,0)</x:f>
        <x:v>0</x:v>
      </x:c>
      <x:c r="AC9" s="26" t="n">
        <x:f>IF(AND(AC$5&gt;=$D9,AC$5&lt;=$F9),1,0)</x:f>
        <x:v>0</x:v>
      </x:c>
      <x:c r="AD9" s="26" t="n">
        <x:f>IF(AND(AD$5&gt;=$D9,AD$5&lt;=$F9),1,0)</x:f>
        <x:v>0</x:v>
      </x:c>
    </x:row>
    <x:row r="10" ht="50" customHeight="1">
      <x:c r="A10" s="17" t="str">
        <x:v>G05</x:v>
      </x:c>
      <x:c r="B10" s="17" t="str">
        <x:v>Ejecutar pruebas sin red y cámara</x:v>
      </x:c>
      <x:c r="C10" s="17" t="str">
        <x:v>Dante Moya</x:v>
      </x:c>
      <x:c r="D10" s="17" t="n">
        <x:f>F9+1</x:f>
        <x:v>11</x:v>
      </x:c>
      <x:c r="E10" s="17" t="n">
        <x:v>2</x:v>
      </x:c>
      <x:c r="F10" s="17" t="n">
        <x:f>D10+E10-1</x:f>
        <x:v>12</x:v>
      </x:c>
      <x:c r="G10" s="25" t="n">
        <x:f>E10*3</x:f>
        <x:v>6</x:v>
      </x:c>
      <x:c r="H10" s="17" t="str">
        <x:v>G04 y H-LOCAL</x:v>
      </x:c>
      <x:c r="I10" s="26" t="n">
        <x:f>IF(AND(I$5&gt;=$D10,I$5&lt;=$F10),1,0)</x:f>
        <x:v>0</x:v>
      </x:c>
      <x:c r="J10" s="26" t="n">
        <x:f>IF(AND(J$5&gt;=$D10,J$5&lt;=$F10),1,0)</x:f>
        <x:v>0</x:v>
      </x:c>
      <x:c r="K10" s="26" t="n">
        <x:f>IF(AND(K$5&gt;=$D10,K$5&lt;=$F10),1,0)</x:f>
        <x:v>0</x:v>
      </x:c>
      <x:c r="L10" s="26" t="n">
        <x:f>IF(AND(L$5&gt;=$D10,L$5&lt;=$F10),1,0)</x:f>
        <x:v>0</x:v>
      </x:c>
      <x:c r="M10" s="26" t="n">
        <x:f>IF(AND(M$5&gt;=$D10,M$5&lt;=$F10),1,0)</x:f>
        <x:v>0</x:v>
      </x:c>
      <x:c r="N10" s="26" t="n">
        <x:f>IF(AND(N$5&gt;=$D10,N$5&lt;=$F10),1,0)</x:f>
        <x:v>0</x:v>
      </x:c>
      <x:c r="O10" s="26" t="n">
        <x:f>IF(AND(O$5&gt;=$D10,O$5&lt;=$F10),1,0)</x:f>
        <x:v>0</x:v>
      </x:c>
      <x:c r="P10" s="26" t="n">
        <x:f>IF(AND(P$5&gt;=$D10,P$5&lt;=$F10),1,0)</x:f>
        <x:v>0</x:v>
      </x:c>
      <x:c r="Q10" s="26" t="n">
        <x:f>IF(AND(Q$5&gt;=$D10,Q$5&lt;=$F10),1,0)</x:f>
        <x:v>0</x:v>
      </x:c>
      <x:c r="R10" s="26" t="n">
        <x:f>IF(AND(R$5&gt;=$D10,R$5&lt;=$F10),1,0)</x:f>
        <x:v>0</x:v>
      </x:c>
      <x:c r="S10" s="26" t="n">
        <x:f>IF(AND(S$5&gt;=$D10,S$5&lt;=$F10),1,0)</x:f>
        <x:v>1</x:v>
      </x:c>
      <x:c r="T10" s="26" t="n">
        <x:f>IF(AND(T$5&gt;=$D10,T$5&lt;=$F10),1,0)</x:f>
        <x:v>1</x:v>
      </x:c>
      <x:c r="U10" s="26" t="n">
        <x:f>IF(AND(U$5&gt;=$D10,U$5&lt;=$F10),1,0)</x:f>
        <x:v>0</x:v>
      </x:c>
      <x:c r="V10" s="26" t="n">
        <x:f>IF(AND(V$5&gt;=$D10,V$5&lt;=$F10),1,0)</x:f>
        <x:v>0</x:v>
      </x:c>
      <x:c r="W10" s="26" t="n">
        <x:f>IF(AND(W$5&gt;=$D10,W$5&lt;=$F10),1,0)</x:f>
        <x:v>0</x:v>
      </x:c>
      <x:c r="X10" s="26" t="n">
        <x:f>IF(AND(X$5&gt;=$D10,X$5&lt;=$F10),1,0)</x:f>
        <x:v>0</x:v>
      </x:c>
      <x:c r="Y10" s="26" t="n">
        <x:f>IF(AND(Y$5&gt;=$D10,Y$5&lt;=$F10),1,0)</x:f>
        <x:v>0</x:v>
      </x:c>
      <x:c r="Z10" s="26" t="n">
        <x:f>IF(AND(Z$5&gt;=$D10,Z$5&lt;=$F10),1,0)</x:f>
        <x:v>0</x:v>
      </x:c>
      <x:c r="AA10" s="26" t="n">
        <x:f>IF(AND(AA$5&gt;=$D10,AA$5&lt;=$F10),1,0)</x:f>
        <x:v>0</x:v>
      </x:c>
      <x:c r="AB10" s="26" t="n">
        <x:f>IF(AND(AB$5&gt;=$D10,AB$5&lt;=$F10),1,0)</x:f>
        <x:v>0</x:v>
      </x:c>
      <x:c r="AC10" s="26" t="n">
        <x:f>IF(AND(AC$5&gt;=$D10,AC$5&lt;=$F10),1,0)</x:f>
        <x:v>0</x:v>
      </x:c>
      <x:c r="AD10" s="26" t="n">
        <x:f>IF(AND(AD$5&gt;=$D10,AD$5&lt;=$F10),1,0)</x:f>
        <x:v>0</x:v>
      </x:c>
    </x:row>
    <x:row r="11" ht="50" customHeight="1">
      <x:c r="A11" s="17" t="str">
        <x:v>G06</x:v>
      </x:c>
      <x:c r="B11" s="17" t="str">
        <x:v>Límites y reglas acordadas</x:v>
      </x:c>
      <x:c r="C11" s="17" t="str">
        <x:v>Dante Moya</x:v>
      </x:c>
      <x:c r="D11" s="17" t="n">
        <x:f>F10+1</x:f>
        <x:v>13</x:v>
      </x:c>
      <x:c r="E11" s="17" t="n">
        <x:v>2</x:v>
      </x:c>
      <x:c r="F11" s="17" t="n">
        <x:f>D11+E11-1</x:f>
        <x:v>14</x:v>
      </x:c>
      <x:c r="G11" s="25" t="n">
        <x:f>E11*3</x:f>
        <x:v>6</x:v>
      </x:c>
      <x:c r="H11" s="17" t="str">
        <x:v>Definiciones cliente</x:v>
      </x:c>
      <x:c r="I11" s="26" t="n">
        <x:f>IF(AND(I$5&gt;=$D11,I$5&lt;=$F11),1,0)</x:f>
        <x:v>0</x:v>
      </x:c>
      <x:c r="J11" s="26" t="n">
        <x:f>IF(AND(J$5&gt;=$D11,J$5&lt;=$F11),1,0)</x:f>
        <x:v>0</x:v>
      </x:c>
      <x:c r="K11" s="26" t="n">
        <x:f>IF(AND(K$5&gt;=$D11,K$5&lt;=$F11),1,0)</x:f>
        <x:v>0</x:v>
      </x:c>
      <x:c r="L11" s="26" t="n">
        <x:f>IF(AND(L$5&gt;=$D11,L$5&lt;=$F11),1,0)</x:f>
        <x:v>0</x:v>
      </x:c>
      <x:c r="M11" s="26" t="n">
        <x:f>IF(AND(M$5&gt;=$D11,M$5&lt;=$F11),1,0)</x:f>
        <x:v>0</x:v>
      </x:c>
      <x:c r="N11" s="26" t="n">
        <x:f>IF(AND(N$5&gt;=$D11,N$5&lt;=$F11),1,0)</x:f>
        <x:v>0</x:v>
      </x:c>
      <x:c r="O11" s="26" t="n">
        <x:f>IF(AND(O$5&gt;=$D11,O$5&lt;=$F11),1,0)</x:f>
        <x:v>0</x:v>
      </x:c>
      <x:c r="P11" s="26" t="n">
        <x:f>IF(AND(P$5&gt;=$D11,P$5&lt;=$F11),1,0)</x:f>
        <x:v>0</x:v>
      </x:c>
      <x:c r="Q11" s="26" t="n">
        <x:f>IF(AND(Q$5&gt;=$D11,Q$5&lt;=$F11),1,0)</x:f>
        <x:v>0</x:v>
      </x:c>
      <x:c r="R11" s="26" t="n">
        <x:f>IF(AND(R$5&gt;=$D11,R$5&lt;=$F11),1,0)</x:f>
        <x:v>0</x:v>
      </x:c>
      <x:c r="S11" s="26" t="n">
        <x:f>IF(AND(S$5&gt;=$D11,S$5&lt;=$F11),1,0)</x:f>
        <x:v>0</x:v>
      </x:c>
      <x:c r="T11" s="26" t="n">
        <x:f>IF(AND(T$5&gt;=$D11,T$5&lt;=$F11),1,0)</x:f>
        <x:v>0</x:v>
      </x:c>
      <x:c r="U11" s="26" t="n">
        <x:f>IF(AND(U$5&gt;=$D11,U$5&lt;=$F11),1,0)</x:f>
        <x:v>1</x:v>
      </x:c>
      <x:c r="V11" s="26" t="n">
        <x:f>IF(AND(V$5&gt;=$D11,V$5&lt;=$F11),1,0)</x:f>
        <x:v>1</x:v>
      </x:c>
      <x:c r="W11" s="26" t="n">
        <x:f>IF(AND(W$5&gt;=$D11,W$5&lt;=$F11),1,0)</x:f>
        <x:v>0</x:v>
      </x:c>
      <x:c r="X11" s="26" t="n">
        <x:f>IF(AND(X$5&gt;=$D11,X$5&lt;=$F11),1,0)</x:f>
        <x:v>0</x:v>
      </x:c>
      <x:c r="Y11" s="26" t="n">
        <x:f>IF(AND(Y$5&gt;=$D11,Y$5&lt;=$F11),1,0)</x:f>
        <x:v>0</x:v>
      </x:c>
      <x:c r="Z11" s="26" t="n">
        <x:f>IF(AND(Z$5&gt;=$D11,Z$5&lt;=$F11),1,0)</x:f>
        <x:v>0</x:v>
      </x:c>
      <x:c r="AA11" s="26" t="n">
        <x:f>IF(AND(AA$5&gt;=$D11,AA$5&lt;=$F11),1,0)</x:f>
        <x:v>0</x:v>
      </x:c>
      <x:c r="AB11" s="26" t="n">
        <x:f>IF(AND(AB$5&gt;=$D11,AB$5&lt;=$F11),1,0)</x:f>
        <x:v>0</x:v>
      </x:c>
      <x:c r="AC11" s="26" t="n">
        <x:f>IF(AND(AC$5&gt;=$D11,AC$5&lt;=$F11),1,0)</x:f>
        <x:v>0</x:v>
      </x:c>
      <x:c r="AD11" s="26" t="n">
        <x:f>IF(AND(AD$5&gt;=$D11,AD$5&lt;=$F11),1,0)</x:f>
        <x:v>0</x:v>
      </x:c>
    </x:row>
    <x:row r="12" ht="50" customHeight="1">
      <x:c r="A12" s="17" t="str">
        <x:v>G07</x:v>
      </x:c>
      <x:c r="B12" s="17" t="str">
        <x:v>Defontana y certificados</x:v>
      </x:c>
      <x:c r="C12" s="17" t="str">
        <x:v>Dante Moya</x:v>
      </x:c>
      <x:c r="D12" s="17" t="n">
        <x:f>F11+1</x:f>
        <x:v>15</x:v>
      </x:c>
      <x:c r="E12" s="17" t="n">
        <x:v>3</x:v>
      </x:c>
      <x:c r="F12" s="17" t="n">
        <x:f>D12+E12-1</x:f>
        <x:v>17</x:v>
      </x:c>
      <x:c r="G12" s="25" t="n">
        <x:f>E12*3</x:f>
        <x:v>9</x:v>
      </x:c>
      <x:c r="H12" s="17" t="str">
        <x:v>Acceso y alcance cliente</x:v>
      </x:c>
      <x:c r="I12" s="26" t="n">
        <x:f>IF(AND(I$5&gt;=$D12,I$5&lt;=$F12),1,0)</x:f>
        <x:v>0</x:v>
      </x:c>
      <x:c r="J12" s="26" t="n">
        <x:f>IF(AND(J$5&gt;=$D12,J$5&lt;=$F12),1,0)</x:f>
        <x:v>0</x:v>
      </x:c>
      <x:c r="K12" s="26" t="n">
        <x:f>IF(AND(K$5&gt;=$D12,K$5&lt;=$F12),1,0)</x:f>
        <x:v>0</x:v>
      </x:c>
      <x:c r="L12" s="26" t="n">
        <x:f>IF(AND(L$5&gt;=$D12,L$5&lt;=$F12),1,0)</x:f>
        <x:v>0</x:v>
      </x:c>
      <x:c r="M12" s="26" t="n">
        <x:f>IF(AND(M$5&gt;=$D12,M$5&lt;=$F12),1,0)</x:f>
        <x:v>0</x:v>
      </x:c>
      <x:c r="N12" s="26" t="n">
        <x:f>IF(AND(N$5&gt;=$D12,N$5&lt;=$F12),1,0)</x:f>
        <x:v>0</x:v>
      </x:c>
      <x:c r="O12" s="26" t="n">
        <x:f>IF(AND(O$5&gt;=$D12,O$5&lt;=$F12),1,0)</x:f>
        <x:v>0</x:v>
      </x:c>
      <x:c r="P12" s="26" t="n">
        <x:f>IF(AND(P$5&gt;=$D12,P$5&lt;=$F12),1,0)</x:f>
        <x:v>0</x:v>
      </x:c>
      <x:c r="Q12" s="26" t="n">
        <x:f>IF(AND(Q$5&gt;=$D12,Q$5&lt;=$F12),1,0)</x:f>
        <x:v>0</x:v>
      </x:c>
      <x:c r="R12" s="26" t="n">
        <x:f>IF(AND(R$5&gt;=$D12,R$5&lt;=$F12),1,0)</x:f>
        <x:v>0</x:v>
      </x:c>
      <x:c r="S12" s="26" t="n">
        <x:f>IF(AND(S$5&gt;=$D12,S$5&lt;=$F12),1,0)</x:f>
        <x:v>0</x:v>
      </x:c>
      <x:c r="T12" s="26" t="n">
        <x:f>IF(AND(T$5&gt;=$D12,T$5&lt;=$F12),1,0)</x:f>
        <x:v>0</x:v>
      </x:c>
      <x:c r="U12" s="26" t="n">
        <x:f>IF(AND(U$5&gt;=$D12,U$5&lt;=$F12),1,0)</x:f>
        <x:v>0</x:v>
      </x:c>
      <x:c r="V12" s="26" t="n">
        <x:f>IF(AND(V$5&gt;=$D12,V$5&lt;=$F12),1,0)</x:f>
        <x:v>0</x:v>
      </x:c>
      <x:c r="W12" s="26" t="n">
        <x:f>IF(AND(W$5&gt;=$D12,W$5&lt;=$F12),1,0)</x:f>
        <x:v>1</x:v>
      </x:c>
      <x:c r="X12" s="26" t="n">
        <x:f>IF(AND(X$5&gt;=$D12,X$5&lt;=$F12),1,0)</x:f>
        <x:v>1</x:v>
      </x:c>
      <x:c r="Y12" s="26" t="n">
        <x:f>IF(AND(Y$5&gt;=$D12,Y$5&lt;=$F12),1,0)</x:f>
        <x:v>1</x:v>
      </x:c>
      <x:c r="Z12" s="26" t="n">
        <x:f>IF(AND(Z$5&gt;=$D12,Z$5&lt;=$F12),1,0)</x:f>
        <x:v>0</x:v>
      </x:c>
      <x:c r="AA12" s="26" t="n">
        <x:f>IF(AND(AA$5&gt;=$D12,AA$5&lt;=$F12),1,0)</x:f>
        <x:v>0</x:v>
      </x:c>
      <x:c r="AB12" s="26" t="n">
        <x:f>IF(AND(AB$5&gt;=$D12,AB$5&lt;=$F12),1,0)</x:f>
        <x:v>0</x:v>
      </x:c>
      <x:c r="AC12" s="26" t="n">
        <x:f>IF(AND(AC$5&gt;=$D12,AC$5&lt;=$F12),1,0)</x:f>
        <x:v>0</x:v>
      </x:c>
      <x:c r="AD12" s="26" t="n">
        <x:f>IF(AND(AD$5&gt;=$D12,AD$5&lt;=$F12),1,0)</x:f>
        <x:v>0</x:v>
      </x:c>
    </x:row>
    <x:row r="13" ht="50" customHeight="1">
      <x:c r="A13" s="17" t="str">
        <x:v>G08</x:v>
      </x:c>
      <x:c r="B13" s="17" t="str">
        <x:v>Power BI y datos de control</x:v>
      </x:c>
      <x:c r="C13" s="17" t="str">
        <x:v>Dante Moya</x:v>
      </x:c>
      <x:c r="D13" s="17" t="n">
        <x:f>F12+1</x:f>
        <x:v>18</x:v>
      </x:c>
      <x:c r="E13" s="17" t="n">
        <x:v>3</x:v>
      </x:c>
      <x:c r="F13" s="17" t="n">
        <x:f>D13+E13-1</x:f>
        <x:v>20</x:v>
      </x:c>
      <x:c r="G13" s="25" t="n">
        <x:f>E13*3</x:f>
        <x:v>9</x:v>
      </x:c>
      <x:c r="H13" s="17" t="str">
        <x:v>G02 y indicadores clave de desempeño acordados</x:v>
      </x:c>
      <x:c r="I13" s="26" t="n">
        <x:f>IF(AND(I$5&gt;=$D13,I$5&lt;=$F13),1,0)</x:f>
        <x:v>0</x:v>
      </x:c>
      <x:c r="J13" s="26" t="n">
        <x:f>IF(AND(J$5&gt;=$D13,J$5&lt;=$F13),1,0)</x:f>
        <x:v>0</x:v>
      </x:c>
      <x:c r="K13" s="26" t="n">
        <x:f>IF(AND(K$5&gt;=$D13,K$5&lt;=$F13),1,0)</x:f>
        <x:v>0</x:v>
      </x:c>
      <x:c r="L13" s="26" t="n">
        <x:f>IF(AND(L$5&gt;=$D13,L$5&lt;=$F13),1,0)</x:f>
        <x:v>0</x:v>
      </x:c>
      <x:c r="M13" s="26" t="n">
        <x:f>IF(AND(M$5&gt;=$D13,M$5&lt;=$F13),1,0)</x:f>
        <x:v>0</x:v>
      </x:c>
      <x:c r="N13" s="26" t="n">
        <x:f>IF(AND(N$5&gt;=$D13,N$5&lt;=$F13),1,0)</x:f>
        <x:v>0</x:v>
      </x:c>
      <x:c r="O13" s="26" t="n">
        <x:f>IF(AND(O$5&gt;=$D13,O$5&lt;=$F13),1,0)</x:f>
        <x:v>0</x:v>
      </x:c>
      <x:c r="P13" s="26" t="n">
        <x:f>IF(AND(P$5&gt;=$D13,P$5&lt;=$F13),1,0)</x:f>
        <x:v>0</x:v>
      </x:c>
      <x:c r="Q13" s="26" t="n">
        <x:f>IF(AND(Q$5&gt;=$D13,Q$5&lt;=$F13),1,0)</x:f>
        <x:v>0</x:v>
      </x:c>
      <x:c r="R13" s="26" t="n">
        <x:f>IF(AND(R$5&gt;=$D13,R$5&lt;=$F13),1,0)</x:f>
        <x:v>0</x:v>
      </x:c>
      <x:c r="S13" s="26" t="n">
        <x:f>IF(AND(S$5&gt;=$D13,S$5&lt;=$F13),1,0)</x:f>
        <x:v>0</x:v>
      </x:c>
      <x:c r="T13" s="26" t="n">
        <x:f>IF(AND(T$5&gt;=$D13,T$5&lt;=$F13),1,0)</x:f>
        <x:v>0</x:v>
      </x:c>
      <x:c r="U13" s="26" t="n">
        <x:f>IF(AND(U$5&gt;=$D13,U$5&lt;=$F13),1,0)</x:f>
        <x:v>0</x:v>
      </x:c>
      <x:c r="V13" s="26" t="n">
        <x:f>IF(AND(V$5&gt;=$D13,V$5&lt;=$F13),1,0)</x:f>
        <x:v>0</x:v>
      </x:c>
      <x:c r="W13" s="26" t="n">
        <x:f>IF(AND(W$5&gt;=$D13,W$5&lt;=$F13),1,0)</x:f>
        <x:v>0</x:v>
      </x:c>
      <x:c r="X13" s="26" t="n">
        <x:f>IF(AND(X$5&gt;=$D13,X$5&lt;=$F13),1,0)</x:f>
        <x:v>0</x:v>
      </x:c>
      <x:c r="Y13" s="26" t="n">
        <x:f>IF(AND(Y$5&gt;=$D13,Y$5&lt;=$F13),1,0)</x:f>
        <x:v>0</x:v>
      </x:c>
      <x:c r="Z13" s="26" t="n">
        <x:f>IF(AND(Z$5&gt;=$D13,Z$5&lt;=$F13),1,0)</x:f>
        <x:v>1</x:v>
      </x:c>
      <x:c r="AA13" s="26" t="n">
        <x:f>IF(AND(AA$5&gt;=$D13,AA$5&lt;=$F13),1,0)</x:f>
        <x:v>1</x:v>
      </x:c>
      <x:c r="AB13" s="26" t="n">
        <x:f>IF(AND(AB$5&gt;=$D13,AB$5&lt;=$F13),1,0)</x:f>
        <x:v>1</x:v>
      </x:c>
      <x:c r="AC13" s="26" t="n">
        <x:f>IF(AND(AC$5&gt;=$D13,AC$5&lt;=$F13),1,0)</x:f>
        <x:v>0</x:v>
      </x:c>
      <x:c r="AD13" s="26" t="n">
        <x:f>IF(AND(AD$5&gt;=$D13,AD$5&lt;=$F13),1,0)</x:f>
        <x:v>0</x:v>
      </x:c>
    </x:row>
    <x:row r="14" ht="50" customHeight="1">
      <x:c r="A14" s="17" t="str">
        <x:v>G09</x:v>
      </x:c>
      <x:c r="B14" s="17" t="str">
        <x:v>pruebas de aceptación de usuarios y documentación de cierre</x:v>
      </x:c>
      <x:c r="C14" s="17" t="str">
        <x:v>Dante Moya</x:v>
      </x:c>
      <x:c r="D14" s="17" t="n">
        <x:f>F13+1</x:f>
        <x:v>21</x:v>
      </x:c>
      <x:c r="E14" s="17" t="n">
        <x:v>2</x:v>
      </x:c>
      <x:c r="F14" s="17" t="n">
        <x:f>D14+E14-1</x:f>
        <x:v>22</x:v>
      </x:c>
      <x:c r="G14" s="25" t="n">
        <x:f>E14*3</x:f>
        <x:v>6</x:v>
      </x:c>
      <x:c r="H14" s="17" t="str">
        <x:v>G04 a G08</x:v>
      </x:c>
      <x:c r="I14" s="26" t="n">
        <x:f>IF(AND(I$5&gt;=$D14,I$5&lt;=$F14),1,0)</x:f>
        <x:v>0</x:v>
      </x:c>
      <x:c r="J14" s="26" t="n">
        <x:f>IF(AND(J$5&gt;=$D14,J$5&lt;=$F14),1,0)</x:f>
        <x:v>0</x:v>
      </x:c>
      <x:c r="K14" s="26" t="n">
        <x:f>IF(AND(K$5&gt;=$D14,K$5&lt;=$F14),1,0)</x:f>
        <x:v>0</x:v>
      </x:c>
      <x:c r="L14" s="26" t="n">
        <x:f>IF(AND(L$5&gt;=$D14,L$5&lt;=$F14),1,0)</x:f>
        <x:v>0</x:v>
      </x:c>
      <x:c r="M14" s="26" t="n">
        <x:f>IF(AND(M$5&gt;=$D14,M$5&lt;=$F14),1,0)</x:f>
        <x:v>0</x:v>
      </x:c>
      <x:c r="N14" s="26" t="n">
        <x:f>IF(AND(N$5&gt;=$D14,N$5&lt;=$F14),1,0)</x:f>
        <x:v>0</x:v>
      </x:c>
      <x:c r="O14" s="26" t="n">
        <x:f>IF(AND(O$5&gt;=$D14,O$5&lt;=$F14),1,0)</x:f>
        <x:v>0</x:v>
      </x:c>
      <x:c r="P14" s="26" t="n">
        <x:f>IF(AND(P$5&gt;=$D14,P$5&lt;=$F14),1,0)</x:f>
        <x:v>0</x:v>
      </x:c>
      <x:c r="Q14" s="26" t="n">
        <x:f>IF(AND(Q$5&gt;=$D14,Q$5&lt;=$F14),1,0)</x:f>
        <x:v>0</x:v>
      </x:c>
      <x:c r="R14" s="26" t="n">
        <x:f>IF(AND(R$5&gt;=$D14,R$5&lt;=$F14),1,0)</x:f>
        <x:v>0</x:v>
      </x:c>
      <x:c r="S14" s="26" t="n">
        <x:f>IF(AND(S$5&gt;=$D14,S$5&lt;=$F14),1,0)</x:f>
        <x:v>0</x:v>
      </x:c>
      <x:c r="T14" s="26" t="n">
        <x:f>IF(AND(T$5&gt;=$D14,T$5&lt;=$F14),1,0)</x:f>
        <x:v>0</x:v>
      </x:c>
      <x:c r="U14" s="26" t="n">
        <x:f>IF(AND(U$5&gt;=$D14,U$5&lt;=$F14),1,0)</x:f>
        <x:v>0</x:v>
      </x:c>
      <x:c r="V14" s="26" t="n">
        <x:f>IF(AND(V$5&gt;=$D14,V$5&lt;=$F14),1,0)</x:f>
        <x:v>0</x:v>
      </x:c>
      <x:c r="W14" s="26" t="n">
        <x:f>IF(AND(W$5&gt;=$D14,W$5&lt;=$F14),1,0)</x:f>
        <x:v>0</x:v>
      </x:c>
      <x:c r="X14" s="26" t="n">
        <x:f>IF(AND(X$5&gt;=$D14,X$5&lt;=$F14),1,0)</x:f>
        <x:v>0</x:v>
      </x:c>
      <x:c r="Y14" s="26" t="n">
        <x:f>IF(AND(Y$5&gt;=$D14,Y$5&lt;=$F14),1,0)</x:f>
        <x:v>0</x:v>
      </x:c>
      <x:c r="Z14" s="26" t="n">
        <x:f>IF(AND(Z$5&gt;=$D14,Z$5&lt;=$F14),1,0)</x:f>
        <x:v>0</x:v>
      </x:c>
      <x:c r="AA14" s="26" t="n">
        <x:f>IF(AND(AA$5&gt;=$D14,AA$5&lt;=$F14),1,0)</x:f>
        <x:v>0</x:v>
      </x:c>
      <x:c r="AB14" s="26" t="n">
        <x:f>IF(AND(AB$5&gt;=$D14,AB$5&lt;=$F14),1,0)</x:f>
        <x:v>0</x:v>
      </x:c>
      <x:c r="AC14" s="26" t="n">
        <x:f>IF(AND(AC$5&gt;=$D14,AC$5&lt;=$F14),1,0)</x:f>
        <x:v>1</x:v>
      </x:c>
      <x:c r="AD14" s="26" t="n">
        <x:f>IF(AND(AD$5&gt;=$D14,AD$5&lt;=$F14),1,0)</x:f>
        <x:v>1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</x:row>
    <x:row r="16">
      <x:c r="A16" s="1"/>
      <x:c r="B16" s="1" t="str">
        <x:v>Total propuesto sujeto a reestimación</x:v>
      </x:c>
      <x:c r="C16" s="1"/>
      <x:c r="D16" s="1"/>
      <x:c r="E16" s="1" t="n">
        <x:f>SUM(E6:E14)</x:f>
        <x:v>22</x:v>
      </x:c>
      <x:c r="F16" s="1"/>
      <x:c r="G16" s="1" t="n">
        <x:f>SUM(G6:G14)</x:f>
        <x:v>66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</x:row>
  </x:sheetData>
  <x:conditionalFormatting sqref="I6:AD14">
    <x:cfRule type="cellIs" dxfId="4" priority="1" operator="equal">
      <x:formula>1</x:formula>
    </x:cfRule>
  </x:conditionalFormatting>
  <x:pageMargins left="0.7" right="0.7" top="0.75" bottom="0.75" header="0.3" footer="0.3"/>
</x:worksheet>
</file>